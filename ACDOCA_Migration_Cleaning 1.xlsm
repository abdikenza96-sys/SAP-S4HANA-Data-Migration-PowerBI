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19200" windowHeight="7050" firstSheet="6" activeTab="6"/>
  </bookViews>
  <sheets>
    <sheet name="README" sheetId="6" r:id="rId1"/>
    <sheet name="RAW_ACDOCA" sheetId="1" r:id="rId2"/>
    <sheet name="01_RAW_CHECK" sheetId="7" r:id="rId3"/>
    <sheet name="ANOMALIES" sheetId="8" r:id="rId4"/>
    <sheet name="BALANCE_CHECK" sheetId="9" r:id="rId5"/>
    <sheet name="OUTLIER_CHECK" sheetId="10" r:id="rId6"/>
    <sheet name="EXCEPTION_ACDOCA" sheetId="11" r:id="rId7"/>
    <sheet name="CLEAN_ACDOCA" sheetId="12" r:id="rId8"/>
    <sheet name="CONTROL_REPORT" sheetId="14" r:id="rId9"/>
  </sheets>
  <definedNames>
    <definedName name="_xlnm._FilterDatabase" localSheetId="3" hidden="1">ANOMALIES!$A$1:$H$3</definedName>
    <definedName name="_xlnm._FilterDatabase" localSheetId="4" hidden="1">BALANCE_CHECK!$A$1:$E$37</definedName>
    <definedName name="_xlnm._FilterDatabase" localSheetId="1" hidden="1">RAW_ACDOCA!$I$1:$I$193</definedName>
  </definedNames>
  <calcPr calcId="162913"/>
  <fileRecoveryPr repairLoad="1"/>
</workbook>
</file>

<file path=xl/calcChain.xml><?xml version="1.0" encoding="utf-8"?>
<calcChain xmlns="http://schemas.openxmlformats.org/spreadsheetml/2006/main">
  <c r="G196" i="1" l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2" i="10"/>
  <c r="I2" i="10"/>
  <c r="H2" i="10"/>
  <c r="G3" i="10"/>
  <c r="G4" i="10"/>
  <c r="G5" i="10"/>
  <c r="G6" i="10"/>
  <c r="H6" i="10" s="1"/>
  <c r="I6" i="10" s="1"/>
  <c r="K6" i="10" s="1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2" i="10"/>
  <c r="C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2" i="10"/>
  <c r="B2" i="9"/>
  <c r="H185" i="10"/>
  <c r="K47" i="10"/>
  <c r="K25" i="10"/>
  <c r="K53" i="10"/>
  <c r="I15" i="10"/>
  <c r="K15" i="10" s="1"/>
  <c r="I31" i="10"/>
  <c r="K31" i="10" s="1"/>
  <c r="I47" i="10"/>
  <c r="I75" i="10"/>
  <c r="K75" i="10" s="1"/>
  <c r="I95" i="10"/>
  <c r="K95" i="10" s="1"/>
  <c r="I111" i="10"/>
  <c r="K111" i="10" s="1"/>
  <c r="I115" i="10"/>
  <c r="K115" i="10" s="1"/>
  <c r="I127" i="10"/>
  <c r="K127" i="10" s="1"/>
  <c r="I131" i="10"/>
  <c r="K131" i="10" s="1"/>
  <c r="I147" i="10"/>
  <c r="K147" i="10" s="1"/>
  <c r="I163" i="10"/>
  <c r="K163" i="10" s="1"/>
  <c r="I179" i="10"/>
  <c r="K179" i="10" s="1"/>
  <c r="I185" i="10"/>
  <c r="K185" i="10" s="1"/>
  <c r="H3" i="10"/>
  <c r="I3" i="10" s="1"/>
  <c r="K3" i="10" s="1"/>
  <c r="H4" i="10"/>
  <c r="I4" i="10" s="1"/>
  <c r="K4" i="10" s="1"/>
  <c r="H5" i="10"/>
  <c r="I5" i="10" s="1"/>
  <c r="K5" i="10" s="1"/>
  <c r="H7" i="10"/>
  <c r="I7" i="10" s="1"/>
  <c r="K7" i="10" s="1"/>
  <c r="H8" i="10"/>
  <c r="I8" i="10" s="1"/>
  <c r="K8" i="10" s="1"/>
  <c r="H9" i="10"/>
  <c r="I9" i="10" s="1"/>
  <c r="K9" i="10" s="1"/>
  <c r="H11" i="10"/>
  <c r="I11" i="10" s="1"/>
  <c r="K11" i="10" s="1"/>
  <c r="H12" i="10"/>
  <c r="I12" i="10" s="1"/>
  <c r="K12" i="10" s="1"/>
  <c r="H13" i="10"/>
  <c r="I13" i="10" s="1"/>
  <c r="K13" i="10" s="1"/>
  <c r="H15" i="10"/>
  <c r="H16" i="10"/>
  <c r="I16" i="10" s="1"/>
  <c r="K16" i="10" s="1"/>
  <c r="H17" i="10"/>
  <c r="I17" i="10" s="1"/>
  <c r="K17" i="10" s="1"/>
  <c r="H19" i="10"/>
  <c r="I19" i="10" s="1"/>
  <c r="K19" i="10" s="1"/>
  <c r="H20" i="10"/>
  <c r="I20" i="10" s="1"/>
  <c r="K20" i="10" s="1"/>
  <c r="H21" i="10"/>
  <c r="I21" i="10" s="1"/>
  <c r="K21" i="10" s="1"/>
  <c r="H23" i="10"/>
  <c r="I23" i="10" s="1"/>
  <c r="K23" i="10" s="1"/>
  <c r="H24" i="10"/>
  <c r="I24" i="10" s="1"/>
  <c r="K24" i="10" s="1"/>
  <c r="H25" i="10"/>
  <c r="I25" i="10" s="1"/>
  <c r="H27" i="10"/>
  <c r="I27" i="10" s="1"/>
  <c r="K27" i="10" s="1"/>
  <c r="H28" i="10"/>
  <c r="I28" i="10" s="1"/>
  <c r="K28" i="10" s="1"/>
  <c r="H29" i="10"/>
  <c r="I29" i="10" s="1"/>
  <c r="K29" i="10" s="1"/>
  <c r="H31" i="10"/>
  <c r="H32" i="10"/>
  <c r="I32" i="10" s="1"/>
  <c r="K32" i="10" s="1"/>
  <c r="H33" i="10"/>
  <c r="I33" i="10" s="1"/>
  <c r="K33" i="10" s="1"/>
  <c r="H35" i="10"/>
  <c r="I35" i="10" s="1"/>
  <c r="K35" i="10" s="1"/>
  <c r="H36" i="10"/>
  <c r="I36" i="10" s="1"/>
  <c r="K36" i="10" s="1"/>
  <c r="H37" i="10"/>
  <c r="I37" i="10" s="1"/>
  <c r="K37" i="10" s="1"/>
  <c r="H39" i="10"/>
  <c r="I39" i="10" s="1"/>
  <c r="K39" i="10" s="1"/>
  <c r="H40" i="10"/>
  <c r="I40" i="10" s="1"/>
  <c r="K40" i="10" s="1"/>
  <c r="H41" i="10"/>
  <c r="I41" i="10" s="1"/>
  <c r="K41" i="10" s="1"/>
  <c r="H43" i="10"/>
  <c r="I43" i="10" s="1"/>
  <c r="K43" i="10" s="1"/>
  <c r="H44" i="10"/>
  <c r="I44" i="10" s="1"/>
  <c r="K44" i="10" s="1"/>
  <c r="H45" i="10"/>
  <c r="I45" i="10" s="1"/>
  <c r="K45" i="10" s="1"/>
  <c r="H47" i="10"/>
  <c r="H48" i="10"/>
  <c r="I48" i="10" s="1"/>
  <c r="K48" i="10" s="1"/>
  <c r="H49" i="10"/>
  <c r="I49" i="10" s="1"/>
  <c r="K49" i="10" s="1"/>
  <c r="H51" i="10"/>
  <c r="I51" i="10" s="1"/>
  <c r="K51" i="10" s="1"/>
  <c r="H52" i="10"/>
  <c r="I52" i="10" s="1"/>
  <c r="K52" i="10" s="1"/>
  <c r="H53" i="10"/>
  <c r="I53" i="10" s="1"/>
  <c r="H55" i="10"/>
  <c r="I55" i="10" s="1"/>
  <c r="K55" i="10" s="1"/>
  <c r="H56" i="10"/>
  <c r="I56" i="10" s="1"/>
  <c r="K56" i="10" s="1"/>
  <c r="H57" i="10"/>
  <c r="I57" i="10" s="1"/>
  <c r="K57" i="10" s="1"/>
  <c r="H59" i="10"/>
  <c r="I59" i="10" s="1"/>
  <c r="K59" i="10" s="1"/>
  <c r="H60" i="10"/>
  <c r="I60" i="10" s="1"/>
  <c r="K60" i="10" s="1"/>
  <c r="H61" i="10"/>
  <c r="I61" i="10" s="1"/>
  <c r="K61" i="10" s="1"/>
  <c r="H63" i="10"/>
  <c r="I63" i="10" s="1"/>
  <c r="K63" i="10" s="1"/>
  <c r="H64" i="10"/>
  <c r="I64" i="10" s="1"/>
  <c r="K64" i="10" s="1"/>
  <c r="H65" i="10"/>
  <c r="I65" i="10" s="1"/>
  <c r="K65" i="10" s="1"/>
  <c r="H67" i="10"/>
  <c r="I67" i="10" s="1"/>
  <c r="K67" i="10" s="1"/>
  <c r="H68" i="10"/>
  <c r="I68" i="10" s="1"/>
  <c r="K68" i="10" s="1"/>
  <c r="H69" i="10"/>
  <c r="I69" i="10" s="1"/>
  <c r="K69" i="10" s="1"/>
  <c r="H71" i="10"/>
  <c r="I71" i="10" s="1"/>
  <c r="K71" i="10" s="1"/>
  <c r="H72" i="10"/>
  <c r="I72" i="10" s="1"/>
  <c r="K72" i="10" s="1"/>
  <c r="H73" i="10"/>
  <c r="I73" i="10" s="1"/>
  <c r="K73" i="10" s="1"/>
  <c r="H75" i="10"/>
  <c r="H76" i="10"/>
  <c r="I76" i="10" s="1"/>
  <c r="K76" i="10" s="1"/>
  <c r="H77" i="10"/>
  <c r="I77" i="10" s="1"/>
  <c r="K77" i="10" s="1"/>
  <c r="H79" i="10"/>
  <c r="I79" i="10" s="1"/>
  <c r="K79" i="10" s="1"/>
  <c r="H80" i="10"/>
  <c r="I80" i="10" s="1"/>
  <c r="K80" i="10" s="1"/>
  <c r="H81" i="10"/>
  <c r="I81" i="10" s="1"/>
  <c r="K81" i="10" s="1"/>
  <c r="H83" i="10"/>
  <c r="I83" i="10" s="1"/>
  <c r="K83" i="10" s="1"/>
  <c r="H84" i="10"/>
  <c r="I84" i="10" s="1"/>
  <c r="K84" i="10" s="1"/>
  <c r="H85" i="10"/>
  <c r="I85" i="10" s="1"/>
  <c r="K85" i="10" s="1"/>
  <c r="H87" i="10"/>
  <c r="I87" i="10" s="1"/>
  <c r="K87" i="10" s="1"/>
  <c r="H88" i="10"/>
  <c r="I88" i="10" s="1"/>
  <c r="K88" i="10" s="1"/>
  <c r="H89" i="10"/>
  <c r="I89" i="10" s="1"/>
  <c r="K89" i="10" s="1"/>
  <c r="H91" i="10"/>
  <c r="I91" i="10" s="1"/>
  <c r="K91" i="10" s="1"/>
  <c r="H92" i="10"/>
  <c r="I92" i="10" s="1"/>
  <c r="K92" i="10" s="1"/>
  <c r="H93" i="10"/>
  <c r="I93" i="10" s="1"/>
  <c r="K93" i="10" s="1"/>
  <c r="H95" i="10"/>
  <c r="H96" i="10"/>
  <c r="I96" i="10" s="1"/>
  <c r="K96" i="10" s="1"/>
  <c r="H97" i="10"/>
  <c r="I97" i="10" s="1"/>
  <c r="K97" i="10" s="1"/>
  <c r="H99" i="10"/>
  <c r="I99" i="10" s="1"/>
  <c r="K99" i="10" s="1"/>
  <c r="H100" i="10"/>
  <c r="I100" i="10" s="1"/>
  <c r="K100" i="10" s="1"/>
  <c r="H101" i="10"/>
  <c r="I101" i="10" s="1"/>
  <c r="K101" i="10" s="1"/>
  <c r="H103" i="10"/>
  <c r="I103" i="10" s="1"/>
  <c r="K103" i="10" s="1"/>
  <c r="H104" i="10"/>
  <c r="I104" i="10" s="1"/>
  <c r="K104" i="10" s="1"/>
  <c r="H105" i="10"/>
  <c r="I105" i="10" s="1"/>
  <c r="K105" i="10" s="1"/>
  <c r="H107" i="10"/>
  <c r="I107" i="10" s="1"/>
  <c r="K107" i="10" s="1"/>
  <c r="H108" i="10"/>
  <c r="I108" i="10" s="1"/>
  <c r="K108" i="10" s="1"/>
  <c r="H109" i="10"/>
  <c r="I109" i="10" s="1"/>
  <c r="K109" i="10" s="1"/>
  <c r="H111" i="10"/>
  <c r="H112" i="10"/>
  <c r="I112" i="10" s="1"/>
  <c r="K112" i="10" s="1"/>
  <c r="H113" i="10"/>
  <c r="I113" i="10" s="1"/>
  <c r="K113" i="10" s="1"/>
  <c r="H115" i="10"/>
  <c r="H116" i="10"/>
  <c r="I116" i="10" s="1"/>
  <c r="K116" i="10" s="1"/>
  <c r="H117" i="10"/>
  <c r="I117" i="10" s="1"/>
  <c r="K117" i="10" s="1"/>
  <c r="H119" i="10"/>
  <c r="I119" i="10" s="1"/>
  <c r="K119" i="10" s="1"/>
  <c r="H120" i="10"/>
  <c r="I120" i="10" s="1"/>
  <c r="K120" i="10" s="1"/>
  <c r="H121" i="10"/>
  <c r="I121" i="10" s="1"/>
  <c r="K121" i="10" s="1"/>
  <c r="H123" i="10"/>
  <c r="I123" i="10" s="1"/>
  <c r="K123" i="10" s="1"/>
  <c r="H124" i="10"/>
  <c r="I124" i="10" s="1"/>
  <c r="K124" i="10" s="1"/>
  <c r="H125" i="10"/>
  <c r="I125" i="10" s="1"/>
  <c r="K125" i="10" s="1"/>
  <c r="H127" i="10"/>
  <c r="H128" i="10"/>
  <c r="I128" i="10" s="1"/>
  <c r="K128" i="10" s="1"/>
  <c r="H129" i="10"/>
  <c r="I129" i="10" s="1"/>
  <c r="K129" i="10" s="1"/>
  <c r="H131" i="10"/>
  <c r="H132" i="10"/>
  <c r="I132" i="10" s="1"/>
  <c r="K132" i="10" s="1"/>
  <c r="H133" i="10"/>
  <c r="I133" i="10" s="1"/>
  <c r="K133" i="10" s="1"/>
  <c r="H135" i="10"/>
  <c r="I135" i="10" s="1"/>
  <c r="K135" i="10" s="1"/>
  <c r="H136" i="10"/>
  <c r="I136" i="10" s="1"/>
  <c r="K136" i="10" s="1"/>
  <c r="H137" i="10"/>
  <c r="I137" i="10" s="1"/>
  <c r="K137" i="10" s="1"/>
  <c r="H139" i="10"/>
  <c r="I139" i="10" s="1"/>
  <c r="K139" i="10" s="1"/>
  <c r="H140" i="10"/>
  <c r="I140" i="10" s="1"/>
  <c r="K140" i="10" s="1"/>
  <c r="H141" i="10"/>
  <c r="I141" i="10" s="1"/>
  <c r="K141" i="10" s="1"/>
  <c r="H143" i="10"/>
  <c r="I143" i="10" s="1"/>
  <c r="K143" i="10" s="1"/>
  <c r="H144" i="10"/>
  <c r="I144" i="10" s="1"/>
  <c r="K144" i="10" s="1"/>
  <c r="H145" i="10"/>
  <c r="I145" i="10" s="1"/>
  <c r="K145" i="10" s="1"/>
  <c r="H147" i="10"/>
  <c r="H148" i="10"/>
  <c r="I148" i="10" s="1"/>
  <c r="K148" i="10" s="1"/>
  <c r="H149" i="10"/>
  <c r="I149" i="10" s="1"/>
  <c r="K149" i="10" s="1"/>
  <c r="H151" i="10"/>
  <c r="I151" i="10" s="1"/>
  <c r="K151" i="10" s="1"/>
  <c r="H152" i="10"/>
  <c r="I152" i="10" s="1"/>
  <c r="K152" i="10" s="1"/>
  <c r="H153" i="10"/>
  <c r="I153" i="10" s="1"/>
  <c r="K153" i="10" s="1"/>
  <c r="H155" i="10"/>
  <c r="I155" i="10" s="1"/>
  <c r="K155" i="10" s="1"/>
  <c r="H156" i="10"/>
  <c r="I156" i="10" s="1"/>
  <c r="K156" i="10" s="1"/>
  <c r="H157" i="10"/>
  <c r="I157" i="10" s="1"/>
  <c r="K157" i="10" s="1"/>
  <c r="H159" i="10"/>
  <c r="I159" i="10" s="1"/>
  <c r="K159" i="10" s="1"/>
  <c r="H160" i="10"/>
  <c r="I160" i="10" s="1"/>
  <c r="K160" i="10" s="1"/>
  <c r="H161" i="10"/>
  <c r="I161" i="10" s="1"/>
  <c r="K161" i="10" s="1"/>
  <c r="H163" i="10"/>
  <c r="H164" i="10"/>
  <c r="I164" i="10" s="1"/>
  <c r="K164" i="10" s="1"/>
  <c r="H165" i="10"/>
  <c r="I165" i="10" s="1"/>
  <c r="K165" i="10" s="1"/>
  <c r="H167" i="10"/>
  <c r="I167" i="10" s="1"/>
  <c r="K167" i="10" s="1"/>
  <c r="H168" i="10"/>
  <c r="I168" i="10" s="1"/>
  <c r="K168" i="10" s="1"/>
  <c r="H169" i="10"/>
  <c r="I169" i="10" s="1"/>
  <c r="K169" i="10" s="1"/>
  <c r="H171" i="10"/>
  <c r="I171" i="10" s="1"/>
  <c r="K171" i="10" s="1"/>
  <c r="H172" i="10"/>
  <c r="I172" i="10" s="1"/>
  <c r="K172" i="10" s="1"/>
  <c r="H173" i="10"/>
  <c r="I173" i="10" s="1"/>
  <c r="K173" i="10" s="1"/>
  <c r="H175" i="10"/>
  <c r="I175" i="10" s="1"/>
  <c r="K175" i="10" s="1"/>
  <c r="H176" i="10"/>
  <c r="I176" i="10" s="1"/>
  <c r="K176" i="10" s="1"/>
  <c r="H177" i="10"/>
  <c r="I177" i="10" s="1"/>
  <c r="K177" i="10" s="1"/>
  <c r="H179" i="10"/>
  <c r="H180" i="10"/>
  <c r="I180" i="10" s="1"/>
  <c r="K180" i="10" s="1"/>
  <c r="H181" i="10"/>
  <c r="I181" i="10" s="1"/>
  <c r="K181" i="10" s="1"/>
  <c r="H183" i="10"/>
  <c r="I183" i="10" s="1"/>
  <c r="K183" i="10" s="1"/>
  <c r="H184" i="10"/>
  <c r="I184" i="10" s="1"/>
  <c r="K184" i="10" s="1"/>
  <c r="H187" i="10"/>
  <c r="I187" i="10" s="1"/>
  <c r="K187" i="10" s="1"/>
  <c r="H188" i="10"/>
  <c r="I188" i="10" s="1"/>
  <c r="K188" i="10" s="1"/>
  <c r="H189" i="10"/>
  <c r="I189" i="10" s="1"/>
  <c r="K189" i="10" s="1"/>
  <c r="H191" i="10"/>
  <c r="H190" i="10" l="1"/>
  <c r="I190" i="10" s="1"/>
  <c r="K190" i="10" s="1"/>
  <c r="H186" i="10"/>
  <c r="I186" i="10" s="1"/>
  <c r="K186" i="10" s="1"/>
  <c r="H182" i="10"/>
  <c r="I182" i="10" s="1"/>
  <c r="K182" i="10" s="1"/>
  <c r="H178" i="10"/>
  <c r="I178" i="10" s="1"/>
  <c r="K178" i="10" s="1"/>
  <c r="H174" i="10"/>
  <c r="I174" i="10" s="1"/>
  <c r="K174" i="10" s="1"/>
  <c r="H170" i="10"/>
  <c r="I170" i="10" s="1"/>
  <c r="K170" i="10" s="1"/>
  <c r="H166" i="10"/>
  <c r="I166" i="10" s="1"/>
  <c r="K166" i="10" s="1"/>
  <c r="H162" i="10"/>
  <c r="I162" i="10" s="1"/>
  <c r="K162" i="10" s="1"/>
  <c r="H158" i="10"/>
  <c r="I158" i="10" s="1"/>
  <c r="K158" i="10" s="1"/>
  <c r="H154" i="10"/>
  <c r="I154" i="10" s="1"/>
  <c r="K154" i="10" s="1"/>
  <c r="H150" i="10"/>
  <c r="I150" i="10" s="1"/>
  <c r="K150" i="10" s="1"/>
  <c r="H146" i="10"/>
  <c r="I146" i="10" s="1"/>
  <c r="K146" i="10" s="1"/>
  <c r="H142" i="10"/>
  <c r="I142" i="10" s="1"/>
  <c r="K142" i="10" s="1"/>
  <c r="H138" i="10"/>
  <c r="I138" i="10" s="1"/>
  <c r="K138" i="10" s="1"/>
  <c r="H134" i="10"/>
  <c r="I134" i="10" s="1"/>
  <c r="K134" i="10" s="1"/>
  <c r="H130" i="10"/>
  <c r="I130" i="10" s="1"/>
  <c r="K130" i="10" s="1"/>
  <c r="H126" i="10"/>
  <c r="I126" i="10" s="1"/>
  <c r="K126" i="10" s="1"/>
  <c r="H122" i="10"/>
  <c r="I122" i="10" s="1"/>
  <c r="K122" i="10" s="1"/>
  <c r="H118" i="10"/>
  <c r="I118" i="10" s="1"/>
  <c r="K118" i="10" s="1"/>
  <c r="H114" i="10"/>
  <c r="I114" i="10" s="1"/>
  <c r="K114" i="10" s="1"/>
  <c r="H110" i="10"/>
  <c r="I110" i="10" s="1"/>
  <c r="K110" i="10" s="1"/>
  <c r="H106" i="10"/>
  <c r="I106" i="10" s="1"/>
  <c r="K106" i="10" s="1"/>
  <c r="H102" i="10"/>
  <c r="I102" i="10" s="1"/>
  <c r="K102" i="10" s="1"/>
  <c r="H98" i="10"/>
  <c r="I98" i="10" s="1"/>
  <c r="K98" i="10" s="1"/>
  <c r="H94" i="10"/>
  <c r="I94" i="10" s="1"/>
  <c r="K94" i="10" s="1"/>
  <c r="H90" i="10"/>
  <c r="I90" i="10" s="1"/>
  <c r="K90" i="10" s="1"/>
  <c r="H86" i="10"/>
  <c r="I86" i="10" s="1"/>
  <c r="K86" i="10" s="1"/>
  <c r="H82" i="10"/>
  <c r="I82" i="10" s="1"/>
  <c r="K82" i="10" s="1"/>
  <c r="H78" i="10"/>
  <c r="I78" i="10" s="1"/>
  <c r="K78" i="10" s="1"/>
  <c r="H74" i="10"/>
  <c r="I74" i="10" s="1"/>
  <c r="K74" i="10" s="1"/>
  <c r="H70" i="10"/>
  <c r="I70" i="10" s="1"/>
  <c r="K70" i="10" s="1"/>
  <c r="H66" i="10"/>
  <c r="I66" i="10" s="1"/>
  <c r="K66" i="10" s="1"/>
  <c r="H62" i="10"/>
  <c r="I62" i="10" s="1"/>
  <c r="K62" i="10" s="1"/>
  <c r="H58" i="10"/>
  <c r="I58" i="10" s="1"/>
  <c r="K58" i="10" s="1"/>
  <c r="H54" i="10"/>
  <c r="I54" i="10" s="1"/>
  <c r="K54" i="10" s="1"/>
  <c r="H50" i="10"/>
  <c r="I50" i="10" s="1"/>
  <c r="K50" i="10" s="1"/>
  <c r="H46" i="10"/>
  <c r="I46" i="10" s="1"/>
  <c r="K46" i="10" s="1"/>
  <c r="H42" i="10"/>
  <c r="I42" i="10" s="1"/>
  <c r="K42" i="10" s="1"/>
  <c r="H38" i="10"/>
  <c r="I38" i="10" s="1"/>
  <c r="K38" i="10" s="1"/>
  <c r="H34" i="10"/>
  <c r="I34" i="10" s="1"/>
  <c r="K34" i="10" s="1"/>
  <c r="H30" i="10"/>
  <c r="I30" i="10" s="1"/>
  <c r="K30" i="10" s="1"/>
  <c r="H26" i="10"/>
  <c r="I26" i="10" s="1"/>
  <c r="K26" i="10" s="1"/>
  <c r="H22" i="10"/>
  <c r="I22" i="10" s="1"/>
  <c r="K22" i="10" s="1"/>
  <c r="H18" i="10"/>
  <c r="I18" i="10" s="1"/>
  <c r="K18" i="10" s="1"/>
  <c r="H14" i="10"/>
  <c r="I14" i="10" s="1"/>
  <c r="K14" i="10" s="1"/>
  <c r="H10" i="10"/>
  <c r="I10" i="10" s="1"/>
  <c r="K10" i="10" s="1"/>
  <c r="K2" i="10"/>
  <c r="I191" i="10"/>
  <c r="K191" i="10" s="1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2" i="10"/>
  <c r="F5" i="7"/>
  <c r="A2" i="9"/>
  <c r="A3" i="9"/>
  <c r="C3" i="9" s="1"/>
  <c r="A4" i="9"/>
  <c r="B4" i="9" s="1"/>
  <c r="A5" i="9"/>
  <c r="B5" i="9" s="1"/>
  <c r="A6" i="9"/>
  <c r="C6" i="9" s="1"/>
  <c r="A7" i="9"/>
  <c r="B7" i="9" s="1"/>
  <c r="A8" i="9"/>
  <c r="A9" i="9"/>
  <c r="B9" i="9" s="1"/>
  <c r="A10" i="9"/>
  <c r="C10" i="9" s="1"/>
  <c r="A11" i="9"/>
  <c r="B11" i="9" s="1"/>
  <c r="A12" i="9"/>
  <c r="B12" i="9" s="1"/>
  <c r="A13" i="9"/>
  <c r="B13" i="9" s="1"/>
  <c r="A14" i="9"/>
  <c r="C14" i="9" s="1"/>
  <c r="A15" i="9"/>
  <c r="A16" i="9"/>
  <c r="C16" i="9" s="1"/>
  <c r="A17" i="9"/>
  <c r="A18" i="9"/>
  <c r="A19" i="9"/>
  <c r="B19" i="9" s="1"/>
  <c r="A20" i="9"/>
  <c r="A21" i="9"/>
  <c r="B21" i="9" s="1"/>
  <c r="A22" i="9"/>
  <c r="A23" i="9"/>
  <c r="C23" i="9" s="1"/>
  <c r="A24" i="9"/>
  <c r="A25" i="9"/>
  <c r="C25" i="9" s="1"/>
  <c r="A26" i="9"/>
  <c r="A27" i="9"/>
  <c r="B27" i="9" s="1"/>
  <c r="A28" i="9"/>
  <c r="A29" i="9"/>
  <c r="A30" i="9"/>
  <c r="C30" i="9" s="1"/>
  <c r="A31" i="9"/>
  <c r="A32" i="9"/>
  <c r="B32" i="9" s="1"/>
  <c r="A33" i="9"/>
  <c r="A34" i="9"/>
  <c r="C34" i="9" s="1"/>
  <c r="A35" i="9"/>
  <c r="A36" i="9"/>
  <c r="B36" i="9" s="1"/>
  <c r="A37" i="9"/>
  <c r="A38" i="9"/>
  <c r="C38" i="9" s="1"/>
  <c r="A39" i="9"/>
  <c r="A40" i="9"/>
  <c r="C40" i="9" s="1"/>
  <c r="A41" i="9"/>
  <c r="A42" i="9"/>
  <c r="B42" i="9" s="1"/>
  <c r="A43" i="9"/>
  <c r="A44" i="9"/>
  <c r="C44" i="9" s="1"/>
  <c r="A45" i="9"/>
  <c r="A46" i="9"/>
  <c r="B46" i="9" s="1"/>
  <c r="A47" i="9"/>
  <c r="A48" i="9"/>
  <c r="C48" i="9" s="1"/>
  <c r="A49" i="9"/>
  <c r="A50" i="9"/>
  <c r="B50" i="9" s="1"/>
  <c r="A51" i="9"/>
  <c r="C51" i="9" s="1"/>
  <c r="A52" i="9"/>
  <c r="B52" i="9" s="1"/>
  <c r="A53" i="9"/>
  <c r="B53" i="9" s="1"/>
  <c r="A54" i="9"/>
  <c r="A55" i="9"/>
  <c r="B55" i="9" s="1"/>
  <c r="A56" i="9"/>
  <c r="A57" i="9"/>
  <c r="B57" i="9" s="1"/>
  <c r="A58" i="9"/>
  <c r="A59" i="9"/>
  <c r="C59" i="9" s="1"/>
  <c r="A60" i="9"/>
  <c r="A61" i="9"/>
  <c r="B61" i="9" s="1"/>
  <c r="A62" i="9"/>
  <c r="A63" i="9"/>
  <c r="A64" i="9"/>
  <c r="C64" i="9" s="1"/>
  <c r="A65" i="9"/>
  <c r="A66" i="9"/>
  <c r="A67" i="9"/>
  <c r="C67" i="9" s="1"/>
  <c r="A68" i="9"/>
  <c r="A69" i="9"/>
  <c r="B69" i="9" s="1"/>
  <c r="A70" i="9"/>
  <c r="C70" i="9" s="1"/>
  <c r="A71" i="9"/>
  <c r="C71" i="9" s="1"/>
  <c r="A72" i="9"/>
  <c r="C72" i="9" s="1"/>
  <c r="A73" i="9"/>
  <c r="C73" i="9" s="1"/>
  <c r="A74" i="9"/>
  <c r="C74" i="9" s="1"/>
  <c r="A75" i="9"/>
  <c r="B75" i="9" s="1"/>
  <c r="A76" i="9"/>
  <c r="C76" i="9" s="1"/>
  <c r="A77" i="9"/>
  <c r="C77" i="9" s="1"/>
  <c r="A78" i="9"/>
  <c r="C78" i="9" s="1"/>
  <c r="A79" i="9"/>
  <c r="C79" i="9" s="1"/>
  <c r="A80" i="9"/>
  <c r="C80" i="9" s="1"/>
  <c r="A81" i="9"/>
  <c r="B81" i="9" s="1"/>
  <c r="A82" i="9"/>
  <c r="B82" i="9" s="1"/>
  <c r="A83" i="9"/>
  <c r="B83" i="9" s="1"/>
  <c r="A84" i="9"/>
  <c r="C84" i="9" s="1"/>
  <c r="C2" i="9"/>
  <c r="C11" i="9"/>
  <c r="B14" i="9"/>
  <c r="B48" i="9"/>
  <c r="B23" i="9" l="1"/>
  <c r="B10" i="9"/>
  <c r="D10" i="9" s="1"/>
  <c r="E10" i="9" s="1"/>
  <c r="B44" i="9"/>
  <c r="C46" i="9"/>
  <c r="D46" i="9" s="1"/>
  <c r="E46" i="9" s="1"/>
  <c r="B77" i="9"/>
  <c r="D77" i="9" s="1"/>
  <c r="E77" i="9" s="1"/>
  <c r="B25" i="9"/>
  <c r="D25" i="9" s="1"/>
  <c r="E25" i="9" s="1"/>
  <c r="B40" i="9"/>
  <c r="C81" i="9"/>
  <c r="D81" i="9" s="1"/>
  <c r="E81" i="9" s="1"/>
  <c r="C42" i="9"/>
  <c r="D42" i="9" s="1"/>
  <c r="E42" i="9" s="1"/>
  <c r="B67" i="9"/>
  <c r="D67" i="9" s="1"/>
  <c r="E67" i="9" s="1"/>
  <c r="C50" i="9"/>
  <c r="D50" i="9" s="1"/>
  <c r="E50" i="9" s="1"/>
  <c r="B79" i="9"/>
  <c r="D79" i="9" s="1"/>
  <c r="E79" i="9" s="1"/>
  <c r="B51" i="9"/>
  <c r="D51" i="9" s="1"/>
  <c r="E51" i="9" s="1"/>
  <c r="B73" i="9"/>
  <c r="B64" i="9"/>
  <c r="D64" i="9" s="1"/>
  <c r="E64" i="9" s="1"/>
  <c r="C21" i="9"/>
  <c r="D21" i="9" s="1"/>
  <c r="E21" i="9" s="1"/>
  <c r="B71" i="9"/>
  <c r="D71" i="9" s="1"/>
  <c r="E71" i="9" s="1"/>
  <c r="C75" i="9"/>
  <c r="D75" i="9" s="1"/>
  <c r="E75" i="9" s="1"/>
  <c r="B74" i="9"/>
  <c r="D74" i="9" s="1"/>
  <c r="E74" i="9" s="1"/>
  <c r="C69" i="9"/>
  <c r="D69" i="9" s="1"/>
  <c r="E69" i="9" s="1"/>
  <c r="B38" i="9"/>
  <c r="D38" i="9" s="1"/>
  <c r="E38" i="9" s="1"/>
  <c r="B76" i="9"/>
  <c r="D76" i="9" s="1"/>
  <c r="E76" i="9" s="1"/>
  <c r="B72" i="9"/>
  <c r="D72" i="9" s="1"/>
  <c r="E72" i="9" s="1"/>
  <c r="B80" i="9"/>
  <c r="D80" i="9" s="1"/>
  <c r="E80" i="9" s="1"/>
  <c r="B59" i="9"/>
  <c r="D59" i="9" s="1"/>
  <c r="E59" i="9" s="1"/>
  <c r="B30" i="9"/>
  <c r="D30" i="9" s="1"/>
  <c r="E30" i="9" s="1"/>
  <c r="C9" i="9"/>
  <c r="D9" i="9" s="1"/>
  <c r="E9" i="9" s="1"/>
  <c r="C13" i="9"/>
  <c r="D13" i="9" s="1"/>
  <c r="E13" i="9" s="1"/>
  <c r="B78" i="9"/>
  <c r="D78" i="9" s="1"/>
  <c r="E78" i="9" s="1"/>
  <c r="B84" i="9"/>
  <c r="D84" i="9" s="1"/>
  <c r="E84" i="9" s="1"/>
  <c r="B70" i="9"/>
  <c r="D70" i="9" s="1"/>
  <c r="E70" i="9" s="1"/>
  <c r="C52" i="9"/>
  <c r="D52" i="9" s="1"/>
  <c r="E52" i="9" s="1"/>
  <c r="C82" i="9"/>
  <c r="D82" i="9" s="1"/>
  <c r="E82" i="9" s="1"/>
  <c r="C7" i="9"/>
  <c r="D7" i="9" s="1"/>
  <c r="E7" i="9" s="1"/>
  <c r="C5" i="9"/>
  <c r="D5" i="9" s="1"/>
  <c r="E5" i="9" s="1"/>
  <c r="C27" i="9"/>
  <c r="D27" i="9" s="1"/>
  <c r="E27" i="9" s="1"/>
  <c r="B3" i="9"/>
  <c r="D3" i="9" s="1"/>
  <c r="E3" i="9" s="1"/>
  <c r="C55" i="9"/>
  <c r="D55" i="9" s="1"/>
  <c r="E55" i="9" s="1"/>
  <c r="D11" i="9"/>
  <c r="E11" i="9" s="1"/>
  <c r="B6" i="9"/>
  <c r="D6" i="9" s="1"/>
  <c r="E6" i="9" s="1"/>
  <c r="C61" i="9"/>
  <c r="D61" i="9" s="1"/>
  <c r="E61" i="9" s="1"/>
  <c r="C36" i="9"/>
  <c r="D36" i="9" s="1"/>
  <c r="E36" i="9" s="1"/>
  <c r="C32" i="9"/>
  <c r="D32" i="9" s="1"/>
  <c r="E32" i="9" s="1"/>
  <c r="C4" i="9"/>
  <c r="D4" i="9" s="1"/>
  <c r="E4" i="9" s="1"/>
  <c r="B34" i="9"/>
  <c r="D34" i="9" s="1"/>
  <c r="E34" i="9" s="1"/>
  <c r="B16" i="9"/>
  <c r="D16" i="9" s="1"/>
  <c r="E16" i="9" s="1"/>
  <c r="C83" i="9"/>
  <c r="D83" i="9" s="1"/>
  <c r="E83" i="9" s="1"/>
  <c r="C57" i="9"/>
  <c r="D57" i="9" s="1"/>
  <c r="E57" i="9" s="1"/>
  <c r="C53" i="9"/>
  <c r="D53" i="9" s="1"/>
  <c r="E53" i="9" s="1"/>
  <c r="D2" i="9"/>
  <c r="E2" i="9" s="1"/>
  <c r="D44" i="9"/>
  <c r="E44" i="9" s="1"/>
  <c r="D23" i="9"/>
  <c r="E23" i="9" s="1"/>
  <c r="C19" i="9"/>
  <c r="D19" i="9" s="1"/>
  <c r="E19" i="9" s="1"/>
  <c r="C12" i="9"/>
  <c r="D12" i="9" s="1"/>
  <c r="E12" i="9" s="1"/>
  <c r="D14" i="9"/>
  <c r="E14" i="9" s="1"/>
  <c r="D73" i="9"/>
  <c r="E73" i="9" s="1"/>
  <c r="D48" i="9"/>
  <c r="E48" i="9" s="1"/>
  <c r="D40" i="9"/>
  <c r="E40" i="9" s="1"/>
  <c r="C68" i="9"/>
  <c r="B68" i="9"/>
  <c r="C66" i="9"/>
  <c r="B66" i="9"/>
  <c r="C65" i="9"/>
  <c r="B65" i="9"/>
  <c r="C63" i="9"/>
  <c r="B63" i="9"/>
  <c r="C62" i="9"/>
  <c r="B62" i="9"/>
  <c r="C60" i="9"/>
  <c r="B60" i="9"/>
  <c r="C58" i="9"/>
  <c r="B58" i="9"/>
  <c r="C56" i="9"/>
  <c r="B56" i="9"/>
  <c r="C54" i="9"/>
  <c r="B54" i="9"/>
  <c r="C49" i="9"/>
  <c r="B49" i="9"/>
  <c r="C47" i="9"/>
  <c r="B47" i="9"/>
  <c r="C45" i="9"/>
  <c r="B45" i="9"/>
  <c r="C43" i="9"/>
  <c r="B43" i="9"/>
  <c r="C41" i="9"/>
  <c r="B41" i="9"/>
  <c r="C39" i="9"/>
  <c r="B39" i="9"/>
  <c r="C37" i="9"/>
  <c r="B37" i="9"/>
  <c r="C35" i="9"/>
  <c r="B35" i="9"/>
  <c r="C33" i="9"/>
  <c r="B33" i="9"/>
  <c r="C31" i="9"/>
  <c r="B31" i="9"/>
  <c r="C29" i="9"/>
  <c r="B29" i="9"/>
  <c r="C28" i="9"/>
  <c r="B28" i="9"/>
  <c r="C26" i="9"/>
  <c r="B26" i="9"/>
  <c r="C24" i="9"/>
  <c r="B24" i="9"/>
  <c r="C22" i="9"/>
  <c r="B22" i="9"/>
  <c r="C20" i="9"/>
  <c r="B20" i="9"/>
  <c r="C18" i="9"/>
  <c r="B18" i="9"/>
  <c r="C17" i="9"/>
  <c r="B17" i="9"/>
  <c r="C15" i="9"/>
  <c r="B15" i="9"/>
  <c r="C8" i="9"/>
  <c r="B8" i="9"/>
  <c r="F6" i="7"/>
  <c r="D8" i="9" l="1"/>
  <c r="E8" i="9" s="1"/>
  <c r="D15" i="9"/>
  <c r="E15" i="9" s="1"/>
  <c r="D18" i="9"/>
  <c r="E18" i="9" s="1"/>
  <c r="D22" i="9"/>
  <c r="E22" i="9" s="1"/>
  <c r="D26" i="9"/>
  <c r="E26" i="9" s="1"/>
  <c r="D29" i="9"/>
  <c r="E29" i="9" s="1"/>
  <c r="D33" i="9"/>
  <c r="E33" i="9" s="1"/>
  <c r="D37" i="9"/>
  <c r="E37" i="9" s="1"/>
  <c r="D43" i="9"/>
  <c r="E43" i="9" s="1"/>
  <c r="D47" i="9"/>
  <c r="E47" i="9" s="1"/>
  <c r="D54" i="9"/>
  <c r="E54" i="9" s="1"/>
  <c r="D58" i="9"/>
  <c r="E58" i="9" s="1"/>
  <c r="D62" i="9"/>
  <c r="E62" i="9" s="1"/>
  <c r="D65" i="9"/>
  <c r="E65" i="9" s="1"/>
  <c r="D68" i="9"/>
  <c r="E68" i="9" s="1"/>
  <c r="D17" i="9"/>
  <c r="E17" i="9" s="1"/>
  <c r="D20" i="9"/>
  <c r="E20" i="9" s="1"/>
  <c r="D24" i="9"/>
  <c r="E24" i="9" s="1"/>
  <c r="D28" i="9"/>
  <c r="E28" i="9" s="1"/>
  <c r="D31" i="9"/>
  <c r="E31" i="9" s="1"/>
  <c r="D35" i="9"/>
  <c r="E35" i="9" s="1"/>
  <c r="D39" i="9"/>
  <c r="E39" i="9" s="1"/>
  <c r="D41" i="9"/>
  <c r="E41" i="9" s="1"/>
  <c r="D45" i="9"/>
  <c r="E45" i="9" s="1"/>
  <c r="D49" i="9"/>
  <c r="E49" i="9" s="1"/>
  <c r="D56" i="9"/>
  <c r="E56" i="9" s="1"/>
  <c r="D60" i="9"/>
  <c r="E60" i="9" s="1"/>
  <c r="D63" i="9"/>
  <c r="E63" i="9" s="1"/>
  <c r="D66" i="9"/>
  <c r="E66" i="9" s="1"/>
  <c r="G193" i="1"/>
</calcChain>
</file>

<file path=xl/sharedStrings.xml><?xml version="1.0" encoding="utf-8"?>
<sst xmlns="http://schemas.openxmlformats.org/spreadsheetml/2006/main" count="2095" uniqueCount="201">
  <si>
    <t>Posting_Date</t>
  </si>
  <si>
    <t>Period</t>
  </si>
  <si>
    <t>GL_Account</t>
  </si>
  <si>
    <t>Account_Name</t>
  </si>
  <si>
    <t>Cost_Center</t>
  </si>
  <si>
    <t>Amount_Doc_Curr</t>
  </si>
  <si>
    <t>Doc_Curr</t>
  </si>
  <si>
    <t>Amount_Local_Curr</t>
  </si>
  <si>
    <t>Local_Curr</t>
  </si>
  <si>
    <t>Posting_Key</t>
  </si>
  <si>
    <t>Text</t>
  </si>
  <si>
    <t>Capital social - Bilan</t>
  </si>
  <si>
    <t>N/A</t>
  </si>
  <si>
    <t>MAD</t>
  </si>
  <si>
    <t>Capital social</t>
  </si>
  <si>
    <t>Banque - Bilan</t>
  </si>
  <si>
    <t>Apport en capital</t>
  </si>
  <si>
    <t>TVA récupérable - Bilan</t>
  </si>
  <si>
    <t>TVA récupérable sur achat</t>
  </si>
  <si>
    <t>Fournisseurs - Bilan</t>
  </si>
  <si>
    <t>Facture fournisseur</t>
  </si>
  <si>
    <t>Achats de marchandises - P&amp;L</t>
  </si>
  <si>
    <t>CC300</t>
  </si>
  <si>
    <t>Achat marchandises</t>
  </si>
  <si>
    <t>TVA récupérable import</t>
  </si>
  <si>
    <t>Dette fournisseur EUR</t>
  </si>
  <si>
    <t>EUR</t>
  </si>
  <si>
    <t>Achat import EUR</t>
  </si>
  <si>
    <t>Clients - Bilan</t>
  </si>
  <si>
    <t>Facture client marchandises</t>
  </si>
  <si>
    <t>TVA facturée - Bilan</t>
  </si>
  <si>
    <t>TVA facturée</t>
  </si>
  <si>
    <t>Ventes de marchandises - P&amp;L</t>
  </si>
  <si>
    <t>CC200</t>
  </si>
  <si>
    <t>Vente de marchandises</t>
  </si>
  <si>
    <t>USD</t>
  </si>
  <si>
    <t>Facture client USD</t>
  </si>
  <si>
    <t>Prestations d’études/services - P&amp;L</t>
  </si>
  <si>
    <t>Prestation de services USD</t>
  </si>
  <si>
    <t>Règlement client</t>
  </si>
  <si>
    <t>Encaissement client</t>
  </si>
  <si>
    <t>Règlement fournisseur</t>
  </si>
  <si>
    <t>Paiement fournisseur</t>
  </si>
  <si>
    <t>Virement salaires</t>
  </si>
  <si>
    <t>Charges de personnel - P&amp;L</t>
  </si>
  <si>
    <t>CC400</t>
  </si>
  <si>
    <t>Paie mensuelle</t>
  </si>
  <si>
    <t>Paiement loyer</t>
  </si>
  <si>
    <t>Locations et charges locatives - P&amp;L</t>
  </si>
  <si>
    <t>Loyer et charges locatives</t>
  </si>
  <si>
    <t>Paiement transport</t>
  </si>
  <si>
    <t>Transport et déplacements - P&amp;L</t>
  </si>
  <si>
    <t>Transport et distribution</t>
  </si>
  <si>
    <t>Paiement honoraires</t>
  </si>
  <si>
    <t>Honoraires et services extérieurs - P&amp;L</t>
  </si>
  <si>
    <t>CC100</t>
  </si>
  <si>
    <t>Honoraires et services extérieurs</t>
  </si>
  <si>
    <t>Stocks de marchandises - Bilan</t>
  </si>
  <si>
    <t>Variation de stock positive</t>
  </si>
  <si>
    <t>Variation de stock</t>
  </si>
  <si>
    <t>Écriture de clôture amortissement</t>
  </si>
  <si>
    <t>Dotations aux amortissements - P&amp;L</t>
  </si>
  <si>
    <t>Dotation aux amortissements</t>
  </si>
  <si>
    <t>Variation de stock négative</t>
  </si>
  <si>
    <t>Paiement déplacement équipe commerciale</t>
  </si>
  <si>
    <t>Déplacement équipe commerciale</t>
  </si>
  <si>
    <t>2026-02-30</t>
  </si>
  <si>
    <t>Paiement services administratifs</t>
  </si>
  <si>
    <t>Services administratifs</t>
  </si>
  <si>
    <t>Paiement frais de déplacement commercial</t>
  </si>
  <si>
    <t>Frais de déplacement commercial</t>
  </si>
  <si>
    <t>Paiement conseil comptable</t>
  </si>
  <si>
    <t>Conseil comptable</t>
  </si>
  <si>
    <t>Paiement transport exceptionnel</t>
  </si>
  <si>
    <t>Transport exceptionnel</t>
  </si>
  <si>
    <t>Paiement services juridiques</t>
  </si>
  <si>
    <t>Services juridiques</t>
  </si>
  <si>
    <t>ANOMALIE 3 - TVA</t>
  </si>
  <si>
    <t>ANOMALIE 3 - fournisseur</t>
  </si>
  <si>
    <t>ANOMALIE 3 - achat déséquilibré</t>
  </si>
  <si>
    <t>ANOMALIE 4 - facture client</t>
  </si>
  <si>
    <t>ANOMALIE 4 - TVA</t>
  </si>
  <si>
    <t>ANOMALIE 4 - vente</t>
  </si>
  <si>
    <t>ANOMALIE 5 - TVA</t>
  </si>
  <si>
    <t>ANOMALIE 5 - fournisseur</t>
  </si>
  <si>
    <t>ANOMALIE 5 - OUTLIER honoraires</t>
  </si>
  <si>
    <t>ANOMALIE 6 - TVA</t>
  </si>
  <si>
    <t>ANOMALIE 6 - fournisseur</t>
  </si>
  <si>
    <t>ANOMALIE 6 - OUTLIER achat marchandises</t>
  </si>
  <si>
    <t>Document_Num+A25FA1:A133</t>
  </si>
  <si>
    <t>01/01/2026 – 30/06/2026</t>
  </si>
  <si>
    <t>Statut</t>
  </si>
  <si>
    <t>Élément</t>
  </si>
  <si>
    <t>Information</t>
  </si>
  <si>
    <t>Projet</t>
  </si>
  <si>
    <t>Simulation de Migration de Données &amp; Reporting Financier SAP S/4HANA</t>
  </si>
  <si>
    <t>Société</t>
  </si>
  <si>
    <t>Activité</t>
  </si>
  <si>
    <t>Négoce &amp; Distribution</t>
  </si>
  <si>
    <t>Système source</t>
  </si>
  <si>
    <t>SAP S/4HANA</t>
  </si>
  <si>
    <t>Source</t>
  </si>
  <si>
    <t>ACDOCA – Universal Journal</t>
  </si>
  <si>
    <t>Période</t>
  </si>
  <si>
    <t>Devise locale</t>
  </si>
  <si>
    <t>Devises de transaction</t>
  </si>
  <si>
    <t>MAD / EUR / USD</t>
  </si>
  <si>
    <t>Nombre de lignes RAW</t>
  </si>
  <si>
    <t>Outil de nettoyage</t>
  </si>
  <si>
    <t>Excel / VBA</t>
  </si>
  <si>
    <t>Outil de reporting</t>
  </si>
  <si>
    <t>Power BI</t>
  </si>
  <si>
    <t>Auteur</t>
  </si>
  <si>
    <t>Version</t>
  </si>
  <si>
    <t>V1.0</t>
  </si>
  <si>
    <t>Date</t>
  </si>
  <si>
    <t>Mariam EL-FATMI / Kenza ABDI</t>
  </si>
  <si>
    <t>ID</t>
  </si>
  <si>
    <t>Contrôle</t>
  </si>
  <si>
    <t>Attendu</t>
  </si>
  <si>
    <t>Obtenu</t>
  </si>
  <si>
    <t>Commentaire</t>
  </si>
  <si>
    <t>QC01</t>
  </si>
  <si>
    <t>Nombre de lignes de données</t>
  </si>
  <si>
    <t>OK</t>
  </si>
  <si>
    <t>190 lignes + 1 en-tête</t>
  </si>
  <si>
    <t>QC02</t>
  </si>
  <si>
    <t>Nombre de colonnes</t>
  </si>
  <si>
    <t>Structure conforme</t>
  </si>
  <si>
    <t>QC03</t>
  </si>
  <si>
    <t>Date minimale</t>
  </si>
  <si>
    <t>QC04</t>
  </si>
  <si>
    <t>Date maximale</t>
  </si>
  <si>
    <t>QC05</t>
  </si>
  <si>
    <t>QC06</t>
  </si>
  <si>
    <t>MAD/EUR/USD</t>
  </si>
  <si>
    <t>QC07</t>
  </si>
  <si>
    <t>Posting Key</t>
  </si>
  <si>
    <t>40/50</t>
  </si>
  <si>
    <t>QC08</t>
  </si>
  <si>
    <t>Valeurs manquantes</t>
  </si>
  <si>
    <t>QC09</t>
  </si>
  <si>
    <t>Documents uniques</t>
  </si>
  <si>
    <t>À vérifier</t>
  </si>
  <si>
    <t>Anomaly_ID</t>
  </si>
  <si>
    <t>Type</t>
  </si>
  <si>
    <t>Document_Num</t>
  </si>
  <si>
    <t>Ligne</t>
  </si>
  <si>
    <t>Sévérité</t>
  </si>
  <si>
    <t>Description</t>
  </si>
  <si>
    <t>Action</t>
  </si>
  <si>
    <t>Total_Debit_MAD</t>
  </si>
  <si>
    <t>Total_Credit_MAD</t>
  </si>
  <si>
    <t>Difference</t>
  </si>
  <si>
    <t>Status</t>
  </si>
  <si>
    <t>Seuil</t>
  </si>
  <si>
    <t>AN001</t>
  </si>
  <si>
    <t>Duplicate</t>
  </si>
  <si>
    <t>Medium</t>
  </si>
  <si>
    <t>Ligne strictement dupliquée</t>
  </si>
  <si>
    <t>Suppression</t>
  </si>
  <si>
    <t>Traité</t>
  </si>
  <si>
    <t>AN002</t>
  </si>
  <si>
    <t>AN003</t>
  </si>
  <si>
    <t>AN004</t>
  </si>
  <si>
    <t>AN005</t>
  </si>
  <si>
    <t>AN006</t>
  </si>
  <si>
    <t>UNBALANCED</t>
  </si>
  <si>
    <t>OUTLIER</t>
  </si>
  <si>
    <t>High</t>
  </si>
  <si>
    <t>Exception</t>
  </si>
  <si>
    <t>À analyser</t>
  </si>
  <si>
    <t>Débit ≠ Crédit</t>
  </si>
  <si>
    <t>Montant exceptionnel</t>
  </si>
  <si>
    <t>Q1</t>
  </si>
  <si>
    <t>Q3</t>
  </si>
  <si>
    <t>IQR</t>
  </si>
  <si>
    <t>Valeur attendue</t>
  </si>
  <si>
    <t>Première date valide trouvée</t>
  </si>
  <si>
    <t>Dernière date</t>
  </si>
  <si>
    <t>Une seule devise locale</t>
  </si>
  <si>
    <t>172 MAD, 6 EUR, 12 USD</t>
  </si>
  <si>
    <t>98 lignes PK40, 92 lignes PK50</t>
  </si>
  <si>
    <t>Aucune cellule vide dans les 12 colonnes</t>
  </si>
  <si>
    <t>83 Document_Num distincts</t>
  </si>
  <si>
    <t>Anomaly_Type</t>
  </si>
  <si>
    <t>DUPLICATE</t>
  </si>
  <si>
    <t>EXCEPTION</t>
  </si>
  <si>
    <t>Valeur constatée</t>
  </si>
  <si>
    <t>Nombre de colonnes RAW</t>
  </si>
  <si>
    <t>Devises transactionnelles</t>
  </si>
  <si>
    <t>40 / 50</t>
  </si>
  <si>
    <t>Dates invalides</t>
  </si>
  <si>
    <t>NOK</t>
  </si>
  <si>
    <t>Doublons</t>
  </si>
  <si>
    <t>Documents déséquilibrés</t>
  </si>
  <si>
    <t>Outliers attendus</t>
  </si>
  <si>
    <t>Lignes en exception</t>
  </si>
  <si>
    <t>INFO</t>
  </si>
  <si>
    <t>Lignes CLEAN</t>
  </si>
  <si>
    <t>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</si>
</sst>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16" fillId="0" borderId="0" xfId="0" applyFont="1" applyAlignment="1">
      <alignment horizontal="center" vertical="center"/>
    </xf>
    <xf numFmtId="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16" fillId="0" borderId="0" xfId="0" applyFont="1" applyAlignment="1">
      <alignment horizontal="right" vertical="center" wrapText="1"/>
    </xf>
    <xf numFmtId="14" fontId="16" fillId="0" borderId="0" xfId="0" applyNumberFormat="1" applyFont="1" applyAlignment="1">
      <alignment horizontal="right" vertical="center" wrapText="1"/>
    </xf>
    <xf numFmtId="3" fontId="0" fillId="0" borderId="0" xfId="0" applyNumberFormat="1" applyAlignment="1">
      <alignment horizontal="right" vertical="center" wrapText="1"/>
    </xf>
    <xf numFmtId="0" fontId="0" fillId="0" borderId="0" xfId="0" applyFill="1"/>
    <xf numFmtId="0" fontId="0" fillId="33" borderId="0" xfId="0" applyFill="1"/>
    <xf numFmtId="0" fontId="0" fillId="33" borderId="0" xfId="0" applyFill="1" applyAlignment="1">
      <alignment horizontal="center"/>
    </xf>
    <xf numFmtId="0" fontId="16" fillId="33" borderId="0" xfId="0" applyFont="1" applyFill="1" applyAlignment="1">
      <alignment horizontal="center" vertical="center" wrapText="1"/>
    </xf>
    <xf numFmtId="0" fontId="16" fillId="33" borderId="0" xfId="0" applyFont="1" applyFill="1" applyAlignment="1">
      <alignment horizontal="center" vertical="center"/>
    </xf>
    <xf numFmtId="4" fontId="16" fillId="33" borderId="0" xfId="0" applyNumberFormat="1" applyFont="1" applyFill="1" applyAlignment="1">
      <alignment horizontal="center" vertical="center"/>
    </xf>
    <xf numFmtId="0" fontId="16" fillId="33" borderId="0" xfId="0" applyFont="1" applyFill="1" applyAlignment="1">
      <alignment horizontal="right" vertical="center" wrapText="1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292100</xdr:colOff>
      <xdr:row>1</xdr:row>
      <xdr:rowOff>152400</xdr:rowOff>
    </xdr:from>
    <xdr:to>
      <xdr:col>8</xdr:col>
      <xdr:colOff>38100</xdr:colOff>
      <xdr:row>4</xdr:row>
      <xdr:rowOff>44450</xdr:rowOff>
    </xdr:to>
    <xdr:sp macro="" textlink="">
      <xdr:nvSpPr>
        <xdr:cNvPr id="79" name="Rectangle à coins arrondis 78"/>
        <xdr:cNvSpPr/>
      </xdr:nvSpPr>
      <xdr:spPr>
        <a:xfrm>
          <a:off x="7219950" y="336550"/>
          <a:ext cx="2794000" cy="444500"/>
        </a:xfrm>
        <a:prstGeom prst="roundRect">
          <a:avLst>
            <a:gd name="adj" fmla="val 49524"/>
          </a:avLst>
        </a:prstGeom>
        <a:solidFill>
          <a:srgbClr val="1B365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 panose="020F0502020204030204" pitchFamily="34" charset="0"/>
            </a:rPr>
            <a:t>SAP S/4HANA</a:t>
          </a:r>
        </a:p>
      </xdr:txBody>
    </xdr:sp>
    <xdr:clientData/>
  </xdr:twoCellAnchor>
  <xdr:twoCellAnchor>
    <xdr:from>
      <xdr:col>4</xdr:col>
      <xdr:colOff>304800</xdr:colOff>
      <xdr:row>4</xdr:row>
      <xdr:rowOff>304800</xdr:rowOff>
    </xdr:from>
    <xdr:to>
      <xdr:col>8</xdr:col>
      <xdr:colOff>50800</xdr:colOff>
      <xdr:row>6</xdr:row>
      <xdr:rowOff>158750</xdr:rowOff>
    </xdr:to>
    <xdr:sp macro="" textlink="">
      <xdr:nvSpPr>
        <xdr:cNvPr id="80" name="Rectangle à coins arrondis 79"/>
        <xdr:cNvSpPr/>
      </xdr:nvSpPr>
      <xdr:spPr>
        <a:xfrm>
          <a:off x="7232650" y="1041400"/>
          <a:ext cx="2794000" cy="444500"/>
        </a:xfrm>
        <a:prstGeom prst="roundRect">
          <a:avLst/>
        </a:prstGeom>
        <a:solidFill>
          <a:srgbClr val="1B365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 panose="020F0502020204030204" pitchFamily="34" charset="0"/>
            </a:rPr>
            <a:t>ACDOCA</a:t>
          </a:r>
        </a:p>
      </xdr:txBody>
    </xdr:sp>
    <xdr:clientData/>
  </xdr:twoCellAnchor>
  <xdr:twoCellAnchor>
    <xdr:from>
      <xdr:col>6</xdr:col>
      <xdr:colOff>158750</xdr:colOff>
      <xdr:row>4</xdr:row>
      <xdr:rowOff>50800</xdr:rowOff>
    </xdr:from>
    <xdr:to>
      <xdr:col>6</xdr:col>
      <xdr:colOff>158750</xdr:colOff>
      <xdr:row>4</xdr:row>
      <xdr:rowOff>304800</xdr:rowOff>
    </xdr:to>
    <xdr:cxnSp macro="">
      <xdr:nvCxnSpPr>
        <xdr:cNvPr id="81" name="Connecteur droit avec flèche 80"/>
        <xdr:cNvCxnSpPr/>
      </xdr:nvCxnSpPr>
      <xdr:spPr>
        <a:xfrm>
          <a:off x="8610600" y="787400"/>
          <a:ext cx="0" cy="254000"/>
        </a:xfrm>
        <a:prstGeom prst="straightConnector1">
          <a:avLst/>
        </a:prstGeom>
        <a:ln w="2540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8</xdr:row>
      <xdr:rowOff>25400</xdr:rowOff>
    </xdr:from>
    <xdr:to>
      <xdr:col>8</xdr:col>
      <xdr:colOff>50800</xdr:colOff>
      <xdr:row>10</xdr:row>
      <xdr:rowOff>101600</xdr:rowOff>
    </xdr:to>
    <xdr:sp macro="" textlink="">
      <xdr:nvSpPr>
        <xdr:cNvPr id="82" name="Rectangle à coins arrondis 81"/>
        <xdr:cNvSpPr/>
      </xdr:nvSpPr>
      <xdr:spPr>
        <a:xfrm>
          <a:off x="7232650" y="1720850"/>
          <a:ext cx="2794000" cy="444500"/>
        </a:xfrm>
        <a:prstGeom prst="roundRect">
          <a:avLst/>
        </a:prstGeom>
        <a:solidFill>
          <a:srgbClr val="298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 panose="020F0502020204030204" pitchFamily="34" charset="0"/>
            </a:rPr>
            <a:t>RAW_ACDOCA</a:t>
          </a:r>
        </a:p>
      </xdr:txBody>
    </xdr:sp>
    <xdr:clientData/>
  </xdr:twoCellAnchor>
  <xdr:twoCellAnchor>
    <xdr:from>
      <xdr:col>6</xdr:col>
      <xdr:colOff>177800</xdr:colOff>
      <xdr:row>6</xdr:row>
      <xdr:rowOff>146050</xdr:rowOff>
    </xdr:from>
    <xdr:to>
      <xdr:col>6</xdr:col>
      <xdr:colOff>177800</xdr:colOff>
      <xdr:row>8</xdr:row>
      <xdr:rowOff>31750</xdr:rowOff>
    </xdr:to>
    <xdr:cxnSp macro="">
      <xdr:nvCxnSpPr>
        <xdr:cNvPr id="83" name="Connecteur droit avec flèche 82"/>
        <xdr:cNvCxnSpPr/>
      </xdr:nvCxnSpPr>
      <xdr:spPr>
        <a:xfrm>
          <a:off x="8629650" y="1473200"/>
          <a:ext cx="0" cy="254000"/>
        </a:xfrm>
        <a:prstGeom prst="straightConnector1">
          <a:avLst/>
        </a:prstGeom>
        <a:ln w="2540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292100</xdr:colOff>
      <xdr:row>11</xdr:row>
      <xdr:rowOff>177800</xdr:rowOff>
    </xdr:from>
    <xdr:to>
      <xdr:col>8</xdr:col>
      <xdr:colOff>38100</xdr:colOff>
      <xdr:row>14</xdr:row>
      <xdr:rowOff>69850</xdr:rowOff>
    </xdr:to>
    <xdr:sp macro="" textlink="">
      <xdr:nvSpPr>
        <xdr:cNvPr id="84" name="Rectangle à coins arrondis 83"/>
        <xdr:cNvSpPr/>
      </xdr:nvSpPr>
      <xdr:spPr>
        <a:xfrm>
          <a:off x="7219950" y="2425700"/>
          <a:ext cx="2794000" cy="444500"/>
        </a:xfrm>
        <a:prstGeom prst="roundRect">
          <a:avLst/>
        </a:prstGeom>
        <a:solidFill>
          <a:srgbClr val="298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 panose="020F0502020204030204" pitchFamily="34" charset="0"/>
            </a:rPr>
            <a:t>01_RAW_CHECK</a:t>
          </a:r>
        </a:p>
      </xdr:txBody>
    </xdr:sp>
    <xdr:clientData/>
  </xdr:twoCellAnchor>
  <xdr:twoCellAnchor>
    <xdr:from>
      <xdr:col>6</xdr:col>
      <xdr:colOff>171450</xdr:colOff>
      <xdr:row>10</xdr:row>
      <xdr:rowOff>107950</xdr:rowOff>
    </xdr:from>
    <xdr:to>
      <xdr:col>6</xdr:col>
      <xdr:colOff>171450</xdr:colOff>
      <xdr:row>11</xdr:row>
      <xdr:rowOff>177800</xdr:rowOff>
    </xdr:to>
    <xdr:cxnSp macro="">
      <xdr:nvCxnSpPr>
        <xdr:cNvPr id="85" name="Connecteur droit avec flèche 84"/>
        <xdr:cNvCxnSpPr/>
      </xdr:nvCxnSpPr>
      <xdr:spPr>
        <a:xfrm>
          <a:off x="8623300" y="2171700"/>
          <a:ext cx="0" cy="254000"/>
        </a:xfrm>
        <a:prstGeom prst="straightConnector1">
          <a:avLst/>
        </a:prstGeom>
        <a:ln w="2540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298450</xdr:colOff>
      <xdr:row>15</xdr:row>
      <xdr:rowOff>133350</xdr:rowOff>
    </xdr:from>
    <xdr:to>
      <xdr:col>8</xdr:col>
      <xdr:colOff>44450</xdr:colOff>
      <xdr:row>18</xdr:row>
      <xdr:rowOff>25400</xdr:rowOff>
    </xdr:to>
    <xdr:sp macro="" textlink="">
      <xdr:nvSpPr>
        <xdr:cNvPr id="86" name="Rectangle à coins arrondis 85"/>
        <xdr:cNvSpPr/>
      </xdr:nvSpPr>
      <xdr:spPr>
        <a:xfrm>
          <a:off x="7226300" y="3117850"/>
          <a:ext cx="2794000" cy="444500"/>
        </a:xfrm>
        <a:prstGeom prst="roundRect">
          <a:avLst/>
        </a:prstGeom>
        <a:solidFill>
          <a:srgbClr val="298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 panose="020F0502020204030204" pitchFamily="34" charset="0"/>
            </a:rPr>
            <a:t>ANOMALIES</a:t>
          </a:r>
        </a:p>
      </xdr:txBody>
    </xdr:sp>
    <xdr:clientData/>
  </xdr:twoCellAnchor>
  <xdr:twoCellAnchor>
    <xdr:from>
      <xdr:col>6</xdr:col>
      <xdr:colOff>184150</xdr:colOff>
      <xdr:row>14</xdr:row>
      <xdr:rowOff>57150</xdr:rowOff>
    </xdr:from>
    <xdr:to>
      <xdr:col>6</xdr:col>
      <xdr:colOff>184150</xdr:colOff>
      <xdr:row>15</xdr:row>
      <xdr:rowOff>127000</xdr:rowOff>
    </xdr:to>
    <xdr:cxnSp macro="">
      <xdr:nvCxnSpPr>
        <xdr:cNvPr id="87" name="Connecteur droit avec flèche 86"/>
        <xdr:cNvCxnSpPr/>
      </xdr:nvCxnSpPr>
      <xdr:spPr>
        <a:xfrm>
          <a:off x="8636000" y="2857500"/>
          <a:ext cx="0" cy="254000"/>
        </a:xfrm>
        <a:prstGeom prst="straightConnector1">
          <a:avLst/>
        </a:prstGeom>
        <a:ln w="2540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292100</xdr:colOff>
      <xdr:row>19</xdr:row>
      <xdr:rowOff>88900</xdr:rowOff>
    </xdr:from>
    <xdr:to>
      <xdr:col>8</xdr:col>
      <xdr:colOff>38100</xdr:colOff>
      <xdr:row>21</xdr:row>
      <xdr:rowOff>165100</xdr:rowOff>
    </xdr:to>
    <xdr:sp macro="" textlink="">
      <xdr:nvSpPr>
        <xdr:cNvPr id="88" name="Rectangle à coins arrondis 87"/>
        <xdr:cNvSpPr/>
      </xdr:nvSpPr>
      <xdr:spPr>
        <a:xfrm>
          <a:off x="7219950" y="3810000"/>
          <a:ext cx="2794000" cy="444500"/>
        </a:xfrm>
        <a:prstGeom prst="roundRect">
          <a:avLst/>
        </a:prstGeom>
        <a:solidFill>
          <a:srgbClr val="298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 panose="020F0502020204030204" pitchFamily="34" charset="0"/>
            </a:rPr>
            <a:t>BALANCE_CHECK</a:t>
          </a:r>
        </a:p>
      </xdr:txBody>
    </xdr:sp>
    <xdr:clientData/>
  </xdr:twoCellAnchor>
  <xdr:twoCellAnchor>
    <xdr:from>
      <xdr:col>6</xdr:col>
      <xdr:colOff>177800</xdr:colOff>
      <xdr:row>18</xdr:row>
      <xdr:rowOff>19050</xdr:rowOff>
    </xdr:from>
    <xdr:to>
      <xdr:col>6</xdr:col>
      <xdr:colOff>177800</xdr:colOff>
      <xdr:row>19</xdr:row>
      <xdr:rowOff>88900</xdr:rowOff>
    </xdr:to>
    <xdr:cxnSp macro="">
      <xdr:nvCxnSpPr>
        <xdr:cNvPr id="89" name="Connecteur droit avec flèche 88"/>
        <xdr:cNvCxnSpPr/>
      </xdr:nvCxnSpPr>
      <xdr:spPr>
        <a:xfrm>
          <a:off x="8629650" y="3556000"/>
          <a:ext cx="0" cy="254000"/>
        </a:xfrm>
        <a:prstGeom prst="straightConnector1">
          <a:avLst/>
        </a:prstGeom>
        <a:ln w="2540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292100</xdr:colOff>
      <xdr:row>23</xdr:row>
      <xdr:rowOff>63500</xdr:rowOff>
    </xdr:from>
    <xdr:to>
      <xdr:col>8</xdr:col>
      <xdr:colOff>38100</xdr:colOff>
      <xdr:row>25</xdr:row>
      <xdr:rowOff>139700</xdr:rowOff>
    </xdr:to>
    <xdr:sp macro="" textlink="">
      <xdr:nvSpPr>
        <xdr:cNvPr id="90" name="Rectangle à coins arrondis 89"/>
        <xdr:cNvSpPr/>
      </xdr:nvSpPr>
      <xdr:spPr>
        <a:xfrm>
          <a:off x="7219950" y="4521200"/>
          <a:ext cx="2794000" cy="444500"/>
        </a:xfrm>
        <a:prstGeom prst="roundRect">
          <a:avLst/>
        </a:prstGeom>
        <a:solidFill>
          <a:srgbClr val="298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 panose="020F0502020204030204" pitchFamily="34" charset="0"/>
            </a:rPr>
            <a:t>OUTLIER_CHECK</a:t>
          </a:r>
        </a:p>
      </xdr:txBody>
    </xdr:sp>
    <xdr:clientData/>
  </xdr:twoCellAnchor>
  <xdr:twoCellAnchor>
    <xdr:from>
      <xdr:col>6</xdr:col>
      <xdr:colOff>177800</xdr:colOff>
      <xdr:row>21</xdr:row>
      <xdr:rowOff>171450</xdr:rowOff>
    </xdr:from>
    <xdr:to>
      <xdr:col>6</xdr:col>
      <xdr:colOff>177800</xdr:colOff>
      <xdr:row>23</xdr:row>
      <xdr:rowOff>57150</xdr:rowOff>
    </xdr:to>
    <xdr:cxnSp macro="">
      <xdr:nvCxnSpPr>
        <xdr:cNvPr id="91" name="Connecteur droit avec flèche 90"/>
        <xdr:cNvCxnSpPr/>
      </xdr:nvCxnSpPr>
      <xdr:spPr>
        <a:xfrm>
          <a:off x="8629650" y="4260850"/>
          <a:ext cx="0" cy="254000"/>
        </a:xfrm>
        <a:prstGeom prst="straightConnector1">
          <a:avLst/>
        </a:prstGeom>
        <a:ln w="2540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27</xdr:row>
      <xdr:rowOff>38100</xdr:rowOff>
    </xdr:from>
    <xdr:to>
      <xdr:col>8</xdr:col>
      <xdr:colOff>50800</xdr:colOff>
      <xdr:row>29</xdr:row>
      <xdr:rowOff>114300</xdr:rowOff>
    </xdr:to>
    <xdr:sp macro="" textlink="">
      <xdr:nvSpPr>
        <xdr:cNvPr id="92" name="Rectangle à coins arrondis 91"/>
        <xdr:cNvSpPr/>
      </xdr:nvSpPr>
      <xdr:spPr>
        <a:xfrm>
          <a:off x="7232650" y="5232400"/>
          <a:ext cx="2794000" cy="444500"/>
        </a:xfrm>
        <a:prstGeom prst="roundRect">
          <a:avLst/>
        </a:prstGeom>
        <a:solidFill>
          <a:srgbClr val="298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 panose="020F0502020204030204" pitchFamily="34" charset="0"/>
            </a:rPr>
            <a:t>CLEAN_ACDOCA + EXCEPTION_ACDOCA</a:t>
          </a:r>
        </a:p>
      </xdr:txBody>
    </xdr:sp>
    <xdr:clientData/>
  </xdr:twoCellAnchor>
  <xdr:twoCellAnchor>
    <xdr:from>
      <xdr:col>6</xdr:col>
      <xdr:colOff>177800</xdr:colOff>
      <xdr:row>25</xdr:row>
      <xdr:rowOff>146050</xdr:rowOff>
    </xdr:from>
    <xdr:to>
      <xdr:col>6</xdr:col>
      <xdr:colOff>177800</xdr:colOff>
      <xdr:row>27</xdr:row>
      <xdr:rowOff>31750</xdr:rowOff>
    </xdr:to>
    <xdr:cxnSp macro="">
      <xdr:nvCxnSpPr>
        <xdr:cNvPr id="93" name="Connecteur droit avec flèche 92"/>
        <xdr:cNvCxnSpPr/>
      </xdr:nvCxnSpPr>
      <xdr:spPr>
        <a:xfrm>
          <a:off x="8629650" y="4972050"/>
          <a:ext cx="0" cy="254000"/>
        </a:xfrm>
        <a:prstGeom prst="straightConnector1">
          <a:avLst/>
        </a:prstGeom>
        <a:ln w="2540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30</xdr:row>
      <xdr:rowOff>177800</xdr:rowOff>
    </xdr:from>
    <xdr:to>
      <xdr:col>8</xdr:col>
      <xdr:colOff>50800</xdr:colOff>
      <xdr:row>33</xdr:row>
      <xdr:rowOff>69850</xdr:rowOff>
    </xdr:to>
    <xdr:sp macro="" textlink="">
      <xdr:nvSpPr>
        <xdr:cNvPr id="94" name="Rectangle à coins arrondis 93"/>
        <xdr:cNvSpPr/>
      </xdr:nvSpPr>
      <xdr:spPr>
        <a:xfrm>
          <a:off x="7232650" y="5924550"/>
          <a:ext cx="2794000" cy="444500"/>
        </a:xfrm>
        <a:prstGeom prst="roundRect">
          <a:avLst/>
        </a:prstGeom>
        <a:solidFill>
          <a:srgbClr val="298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 panose="020F0502020204030204" pitchFamily="34" charset="0"/>
            </a:rPr>
            <a:t>CONTROL_REPORT</a:t>
          </a:r>
        </a:p>
      </xdr:txBody>
    </xdr:sp>
    <xdr:clientData/>
  </xdr:twoCellAnchor>
  <xdr:twoCellAnchor>
    <xdr:from>
      <xdr:col>6</xdr:col>
      <xdr:colOff>190500</xdr:colOff>
      <xdr:row>29</xdr:row>
      <xdr:rowOff>107950</xdr:rowOff>
    </xdr:from>
    <xdr:to>
      <xdr:col>6</xdr:col>
      <xdr:colOff>190500</xdr:colOff>
      <xdr:row>30</xdr:row>
      <xdr:rowOff>177800</xdr:rowOff>
    </xdr:to>
    <xdr:cxnSp macro="">
      <xdr:nvCxnSpPr>
        <xdr:cNvPr id="95" name="Connecteur droit avec flèche 94"/>
        <xdr:cNvCxnSpPr/>
      </xdr:nvCxnSpPr>
      <xdr:spPr>
        <a:xfrm>
          <a:off x="8642350" y="5670550"/>
          <a:ext cx="0" cy="254000"/>
        </a:xfrm>
        <a:prstGeom prst="straightConnector1">
          <a:avLst/>
        </a:prstGeom>
        <a:ln w="2540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34</xdr:row>
      <xdr:rowOff>152400</xdr:rowOff>
    </xdr:from>
    <xdr:to>
      <xdr:col>8</xdr:col>
      <xdr:colOff>50800</xdr:colOff>
      <xdr:row>37</xdr:row>
      <xdr:rowOff>44450</xdr:rowOff>
    </xdr:to>
    <xdr:sp macro="" textlink="">
      <xdr:nvSpPr>
        <xdr:cNvPr id="96" name="Rectangle à coins arrondis 95"/>
        <xdr:cNvSpPr/>
      </xdr:nvSpPr>
      <xdr:spPr>
        <a:xfrm>
          <a:off x="7232650" y="6635750"/>
          <a:ext cx="2794000" cy="444500"/>
        </a:xfrm>
        <a:prstGeom prst="roundRect">
          <a:avLst/>
        </a:prstGeom>
        <a:solidFill>
          <a:srgbClr val="27AE6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Calibri" panose="020F0502020204030204" pitchFamily="34" charset="0"/>
            </a:rPr>
            <a:t>POWER BI</a:t>
          </a:r>
        </a:p>
      </xdr:txBody>
    </xdr:sp>
    <xdr:clientData/>
  </xdr:twoCellAnchor>
  <xdr:twoCellAnchor>
    <xdr:from>
      <xdr:col>6</xdr:col>
      <xdr:colOff>196850</xdr:colOff>
      <xdr:row>33</xdr:row>
      <xdr:rowOff>76200</xdr:rowOff>
    </xdr:from>
    <xdr:to>
      <xdr:col>6</xdr:col>
      <xdr:colOff>196850</xdr:colOff>
      <xdr:row>34</xdr:row>
      <xdr:rowOff>146050</xdr:rowOff>
    </xdr:to>
    <xdr:cxnSp macro="">
      <xdr:nvCxnSpPr>
        <xdr:cNvPr id="97" name="Connecteur droit avec flèche 96"/>
        <xdr:cNvCxnSpPr/>
      </xdr:nvCxnSpPr>
      <xdr:spPr>
        <a:xfrm>
          <a:off x="8648700" y="6375400"/>
          <a:ext cx="0" cy="254000"/>
        </a:xfrm>
        <a:prstGeom prst="straightConnector1">
          <a:avLst/>
        </a:prstGeom>
        <a:ln w="2540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au1" displayName="Tableau1" ref="B4:C18" totalsRowShown="0" dataDxfId="12">
  <autoFilter ref="B4:C18"/>
  <tableColumns count="2">
    <tableColumn id="1" name="Élément" dataDxfId="11"/>
    <tableColumn id="2" name="Information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C4:H13" totalsRowShown="0" headerRowDxfId="9" dataDxfId="8">
  <autoFilter ref="C4:H13"/>
  <tableColumns count="6">
    <tableColumn id="1" name="ID" dataDxfId="7"/>
    <tableColumn id="2" name="Contrôle" dataDxfId="6"/>
    <tableColumn id="3" name="Attendu" dataDxfId="5"/>
    <tableColumn id="4" name="Obtenu" dataDxfId="4"/>
    <tableColumn id="5" name="Statut" dataDxfId="3"/>
    <tableColumn id="6" name="Commentair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4:C18"/>
  <sheetViews>
    <sheetView workbookViewId="0">
      <selection activeCell="D16" sqref="D16"/>
    </sheetView>
  </sheetViews>
  <sheetFormatPr baseColWidth="10" defaultRowHeight="14.5" x14ac:dyDescent="0.35"/>
  <cols>
    <col min="2" max="2" width="20" customWidth="1"/>
    <col min="3" max="3" width="57.36328125" customWidth="1"/>
  </cols>
  <sheetData>
    <row r="4" spans="2:3" x14ac:dyDescent="0.35">
      <c r="B4" s="2" t="s">
        <v>92</v>
      </c>
      <c r="C4" s="2" t="s">
        <v>93</v>
      </c>
    </row>
    <row r="5" spans="2:3" ht="32" customHeight="1" x14ac:dyDescent="0.35">
      <c r="B5" s="1" t="s">
        <v>94</v>
      </c>
      <c r="C5" s="1" t="s">
        <v>95</v>
      </c>
    </row>
    <row r="6" spans="2:3" x14ac:dyDescent="0.35">
      <c r="B6" s="1" t="s">
        <v>96</v>
      </c>
      <c r="C6" s="1"/>
    </row>
    <row r="7" spans="2:3" x14ac:dyDescent="0.35">
      <c r="B7" s="1" t="s">
        <v>97</v>
      </c>
      <c r="C7" s="1" t="s">
        <v>98</v>
      </c>
    </row>
    <row r="8" spans="2:3" x14ac:dyDescent="0.35">
      <c r="B8" s="1" t="s">
        <v>99</v>
      </c>
      <c r="C8" s="1" t="s">
        <v>100</v>
      </c>
    </row>
    <row r="9" spans="2:3" x14ac:dyDescent="0.35">
      <c r="B9" s="1" t="s">
        <v>101</v>
      </c>
      <c r="C9" s="1" t="s">
        <v>102</v>
      </c>
    </row>
    <row r="10" spans="2:3" x14ac:dyDescent="0.35">
      <c r="B10" s="1" t="s">
        <v>103</v>
      </c>
      <c r="C10" s="1" t="s">
        <v>90</v>
      </c>
    </row>
    <row r="11" spans="2:3" x14ac:dyDescent="0.35">
      <c r="B11" s="1" t="s">
        <v>104</v>
      </c>
      <c r="C11" s="1" t="s">
        <v>13</v>
      </c>
    </row>
    <row r="12" spans="2:3" x14ac:dyDescent="0.35">
      <c r="B12" s="1" t="s">
        <v>105</v>
      </c>
      <c r="C12" s="1" t="s">
        <v>106</v>
      </c>
    </row>
    <row r="13" spans="2:3" x14ac:dyDescent="0.35">
      <c r="B13" s="1" t="s">
        <v>107</v>
      </c>
      <c r="C13" s="1">
        <v>190</v>
      </c>
    </row>
    <row r="14" spans="2:3" x14ac:dyDescent="0.35">
      <c r="B14" s="1" t="s">
        <v>108</v>
      </c>
      <c r="C14" s="1" t="s">
        <v>109</v>
      </c>
    </row>
    <row r="15" spans="2:3" x14ac:dyDescent="0.35">
      <c r="B15" s="1" t="s">
        <v>110</v>
      </c>
      <c r="C15" s="1" t="s">
        <v>111</v>
      </c>
    </row>
    <row r="16" spans="2:3" x14ac:dyDescent="0.35">
      <c r="B16" s="1" t="s">
        <v>112</v>
      </c>
      <c r="C16" s="1" t="s">
        <v>116</v>
      </c>
    </row>
    <row r="17" spans="2:3" x14ac:dyDescent="0.35">
      <c r="B17" s="1" t="s">
        <v>113</v>
      </c>
      <c r="C17" s="1" t="s">
        <v>114</v>
      </c>
    </row>
    <row r="18" spans="2:3" x14ac:dyDescent="0.35">
      <c r="B18" s="1" t="s">
        <v>115</v>
      </c>
      <c r="C18" s="3">
        <v>46268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96"/>
  <sheetViews>
    <sheetView topLeftCell="A174" workbookViewId="0">
      <selection sqref="A1:XFD191"/>
    </sheetView>
  </sheetViews>
  <sheetFormatPr baseColWidth="10" defaultRowHeight="14.5" x14ac:dyDescent="0.35"/>
  <cols>
    <col min="1" max="1" width="16.90625" customWidth="1"/>
    <col min="2" max="2" width="13.453125" style="9" customWidth="1"/>
    <col min="4" max="4" width="13.26953125" style="9" customWidth="1"/>
    <col min="7" max="7" width="19.7265625" customWidth="1"/>
    <col min="8" max="8" width="14.453125" customWidth="1"/>
    <col min="9" max="9" width="24" style="9" customWidth="1"/>
    <col min="10" max="10" width="10.90625" style="9"/>
    <col min="11" max="11" width="12" style="9" customWidth="1"/>
    <col min="12" max="12" width="33.90625" style="9" customWidth="1"/>
    <col min="13" max="13" width="14.7265625" customWidth="1"/>
  </cols>
  <sheetData>
    <row r="1" spans="1:12" x14ac:dyDescent="0.35">
      <c r="A1" t="s">
        <v>89</v>
      </c>
      <c r="B1" s="9" t="s">
        <v>0</v>
      </c>
      <c r="C1" t="s">
        <v>1</v>
      </c>
      <c r="D1" s="9" t="s">
        <v>2</v>
      </c>
      <c r="E1" t="s">
        <v>3</v>
      </c>
      <c r="F1" t="s">
        <v>4</v>
      </c>
      <c r="G1" t="s">
        <v>5</v>
      </c>
      <c r="H1" t="s">
        <v>6</v>
      </c>
      <c r="I1" s="9" t="s">
        <v>7</v>
      </c>
      <c r="J1" s="9" t="s">
        <v>8</v>
      </c>
      <c r="K1" s="9" t="s">
        <v>9</v>
      </c>
      <c r="L1" s="9" t="s">
        <v>10</v>
      </c>
    </row>
    <row r="2" spans="1:12" x14ac:dyDescent="0.35">
      <c r="A2">
        <v>100001</v>
      </c>
      <c r="B2" s="10">
        <v>46024</v>
      </c>
      <c r="C2" s="9">
        <v>1</v>
      </c>
      <c r="D2" s="9">
        <v>111100</v>
      </c>
      <c r="E2" t="s">
        <v>11</v>
      </c>
      <c r="F2" t="s">
        <v>12</v>
      </c>
      <c r="G2">
        <v>500000</v>
      </c>
      <c r="H2" t="s">
        <v>13</v>
      </c>
      <c r="I2" s="9">
        <v>500000</v>
      </c>
      <c r="J2" s="9" t="s">
        <v>13</v>
      </c>
      <c r="K2" s="9">
        <v>50</v>
      </c>
      <c r="L2" s="9" t="s">
        <v>14</v>
      </c>
    </row>
    <row r="3" spans="1:12" x14ac:dyDescent="0.35">
      <c r="A3">
        <v>100001</v>
      </c>
      <c r="B3" s="10">
        <v>46024</v>
      </c>
      <c r="C3" s="9">
        <v>1</v>
      </c>
      <c r="D3" s="9">
        <v>514100</v>
      </c>
      <c r="E3" t="s">
        <v>15</v>
      </c>
      <c r="F3" t="s">
        <v>12</v>
      </c>
      <c r="G3">
        <v>500000</v>
      </c>
      <c r="H3" t="s">
        <v>13</v>
      </c>
      <c r="I3" s="9">
        <v>500000</v>
      </c>
      <c r="J3" s="9" t="s">
        <v>13</v>
      </c>
      <c r="K3" s="9">
        <v>40</v>
      </c>
      <c r="L3" s="9" t="s">
        <v>16</v>
      </c>
    </row>
    <row r="4" spans="1:12" x14ac:dyDescent="0.35">
      <c r="A4">
        <v>100002</v>
      </c>
      <c r="B4" s="10">
        <v>46027</v>
      </c>
      <c r="C4" s="9">
        <v>1</v>
      </c>
      <c r="D4" s="9">
        <v>345500</v>
      </c>
      <c r="E4" t="s">
        <v>17</v>
      </c>
      <c r="F4" t="s">
        <v>12</v>
      </c>
      <c r="G4">
        <v>10400</v>
      </c>
      <c r="H4" t="s">
        <v>13</v>
      </c>
      <c r="I4" s="9">
        <v>10400</v>
      </c>
      <c r="J4" s="9" t="s">
        <v>13</v>
      </c>
      <c r="K4" s="9">
        <v>40</v>
      </c>
      <c r="L4" s="9" t="s">
        <v>18</v>
      </c>
    </row>
    <row r="5" spans="1:12" x14ac:dyDescent="0.35">
      <c r="A5">
        <v>100002</v>
      </c>
      <c r="B5" s="10">
        <v>46027</v>
      </c>
      <c r="C5" s="9">
        <v>1</v>
      </c>
      <c r="D5" s="9">
        <v>441100</v>
      </c>
      <c r="E5" t="s">
        <v>19</v>
      </c>
      <c r="F5" t="s">
        <v>12</v>
      </c>
      <c r="G5">
        <v>62400</v>
      </c>
      <c r="H5" t="s">
        <v>13</v>
      </c>
      <c r="I5" s="9">
        <v>62400</v>
      </c>
      <c r="J5" s="9" t="s">
        <v>13</v>
      </c>
      <c r="K5" s="9">
        <v>50</v>
      </c>
      <c r="L5" s="9" t="s">
        <v>20</v>
      </c>
    </row>
    <row r="6" spans="1:12" x14ac:dyDescent="0.35">
      <c r="A6">
        <v>100002</v>
      </c>
      <c r="B6" s="10">
        <v>46027</v>
      </c>
      <c r="C6" s="9">
        <v>1</v>
      </c>
      <c r="D6" s="9">
        <v>441100</v>
      </c>
      <c r="E6" t="s">
        <v>19</v>
      </c>
      <c r="F6" t="s">
        <v>12</v>
      </c>
      <c r="G6">
        <v>62400</v>
      </c>
      <c r="H6" t="s">
        <v>13</v>
      </c>
      <c r="I6" s="9">
        <v>62400</v>
      </c>
      <c r="J6" s="9" t="s">
        <v>13</v>
      </c>
      <c r="K6" s="9">
        <v>50</v>
      </c>
      <c r="L6" s="9" t="s">
        <v>20</v>
      </c>
    </row>
    <row r="7" spans="1:12" x14ac:dyDescent="0.35">
      <c r="A7">
        <v>100002</v>
      </c>
      <c r="B7" s="10">
        <v>46027</v>
      </c>
      <c r="C7" s="9">
        <v>1</v>
      </c>
      <c r="D7" s="9">
        <v>611100</v>
      </c>
      <c r="E7" t="s">
        <v>21</v>
      </c>
      <c r="F7" t="s">
        <v>22</v>
      </c>
      <c r="G7">
        <v>52000</v>
      </c>
      <c r="H7" t="s">
        <v>13</v>
      </c>
      <c r="I7" s="9">
        <v>52000</v>
      </c>
      <c r="J7" s="9" t="s">
        <v>13</v>
      </c>
      <c r="K7" s="9">
        <v>40</v>
      </c>
      <c r="L7" s="9" t="s">
        <v>23</v>
      </c>
    </row>
    <row r="8" spans="1:12" x14ac:dyDescent="0.35">
      <c r="A8">
        <v>100003</v>
      </c>
      <c r="B8" s="10">
        <v>46030</v>
      </c>
      <c r="C8" s="9">
        <v>1</v>
      </c>
      <c r="D8" s="9">
        <v>345500</v>
      </c>
      <c r="E8" t="s">
        <v>17</v>
      </c>
      <c r="F8" t="s">
        <v>12</v>
      </c>
      <c r="G8">
        <v>6944</v>
      </c>
      <c r="H8" t="s">
        <v>13</v>
      </c>
      <c r="I8" s="9">
        <v>6944</v>
      </c>
      <c r="J8" s="9" t="s">
        <v>13</v>
      </c>
      <c r="K8" s="9">
        <v>40</v>
      </c>
      <c r="L8" s="9" t="s">
        <v>24</v>
      </c>
    </row>
    <row r="9" spans="1:12" x14ac:dyDescent="0.35">
      <c r="A9">
        <v>100003</v>
      </c>
      <c r="B9" s="10">
        <v>46030</v>
      </c>
      <c r="C9" s="9">
        <v>1</v>
      </c>
      <c r="D9" s="9">
        <v>441100</v>
      </c>
      <c r="E9" t="s">
        <v>19</v>
      </c>
      <c r="F9" t="s">
        <v>12</v>
      </c>
      <c r="G9">
        <v>41664</v>
      </c>
      <c r="H9" t="s">
        <v>13</v>
      </c>
      <c r="I9" s="9">
        <v>41664</v>
      </c>
      <c r="J9" s="9" t="s">
        <v>13</v>
      </c>
      <c r="K9" s="9">
        <v>50</v>
      </c>
      <c r="L9" s="9" t="s">
        <v>25</v>
      </c>
    </row>
    <row r="10" spans="1:12" x14ac:dyDescent="0.35">
      <c r="A10">
        <v>100003</v>
      </c>
      <c r="B10" s="10">
        <v>46030</v>
      </c>
      <c r="C10" s="9">
        <v>1</v>
      </c>
      <c r="D10" s="9">
        <v>611100</v>
      </c>
      <c r="E10" t="s">
        <v>21</v>
      </c>
      <c r="F10" t="s">
        <v>22</v>
      </c>
      <c r="G10">
        <v>3200</v>
      </c>
      <c r="H10" t="s">
        <v>26</v>
      </c>
      <c r="I10" s="9">
        <v>34720</v>
      </c>
      <c r="J10" s="9" t="s">
        <v>13</v>
      </c>
      <c r="K10" s="9">
        <v>40</v>
      </c>
      <c r="L10" s="9" t="s">
        <v>27</v>
      </c>
    </row>
    <row r="11" spans="1:12" x14ac:dyDescent="0.35">
      <c r="A11">
        <v>100004</v>
      </c>
      <c r="B11" s="10">
        <v>46032</v>
      </c>
      <c r="C11" s="9">
        <v>1</v>
      </c>
      <c r="D11" s="9">
        <v>342100</v>
      </c>
      <c r="E11" t="s">
        <v>28</v>
      </c>
      <c r="F11" t="s">
        <v>12</v>
      </c>
      <c r="G11">
        <v>102000</v>
      </c>
      <c r="H11" t="s">
        <v>13</v>
      </c>
      <c r="I11" s="9">
        <v>102000</v>
      </c>
      <c r="J11" s="9" t="s">
        <v>13</v>
      </c>
      <c r="K11" s="9">
        <v>40</v>
      </c>
      <c r="L11" s="9" t="s">
        <v>29</v>
      </c>
    </row>
    <row r="12" spans="1:12" x14ac:dyDescent="0.35">
      <c r="A12">
        <v>100004</v>
      </c>
      <c r="B12" s="10">
        <v>46032</v>
      </c>
      <c r="C12" s="9">
        <v>1</v>
      </c>
      <c r="D12" s="9">
        <v>445500</v>
      </c>
      <c r="E12" t="s">
        <v>30</v>
      </c>
      <c r="F12" t="s">
        <v>12</v>
      </c>
      <c r="G12">
        <v>17000</v>
      </c>
      <c r="H12" t="s">
        <v>13</v>
      </c>
      <c r="I12" s="9">
        <v>17000</v>
      </c>
      <c r="J12" s="9" t="s">
        <v>13</v>
      </c>
      <c r="K12" s="9">
        <v>50</v>
      </c>
      <c r="L12" s="9" t="s">
        <v>31</v>
      </c>
    </row>
    <row r="13" spans="1:12" x14ac:dyDescent="0.35">
      <c r="A13">
        <v>100004</v>
      </c>
      <c r="B13" s="10">
        <v>46032</v>
      </c>
      <c r="C13" s="9">
        <v>1</v>
      </c>
      <c r="D13" s="9">
        <v>711100</v>
      </c>
      <c r="E13" t="s">
        <v>32</v>
      </c>
      <c r="F13" t="s">
        <v>33</v>
      </c>
      <c r="G13">
        <v>85000</v>
      </c>
      <c r="H13" t="s">
        <v>13</v>
      </c>
      <c r="I13" s="9">
        <v>85000</v>
      </c>
      <c r="J13" s="9" t="s">
        <v>13</v>
      </c>
      <c r="K13" s="9">
        <v>50</v>
      </c>
      <c r="L13" s="9" t="s">
        <v>34</v>
      </c>
    </row>
    <row r="14" spans="1:12" x14ac:dyDescent="0.35">
      <c r="A14">
        <v>100005</v>
      </c>
      <c r="B14" s="10">
        <v>46037</v>
      </c>
      <c r="C14" s="9">
        <v>1</v>
      </c>
      <c r="D14" s="9">
        <v>342100</v>
      </c>
      <c r="E14" t="s">
        <v>28</v>
      </c>
      <c r="F14" t="s">
        <v>12</v>
      </c>
      <c r="G14">
        <v>4200</v>
      </c>
      <c r="H14" t="s">
        <v>35</v>
      </c>
      <c r="I14" s="9">
        <v>41790</v>
      </c>
      <c r="J14" s="9" t="s">
        <v>13</v>
      </c>
      <c r="K14" s="9">
        <v>40</v>
      </c>
      <c r="L14" s="9" t="s">
        <v>36</v>
      </c>
    </row>
    <row r="15" spans="1:12" x14ac:dyDescent="0.35">
      <c r="A15">
        <v>100005</v>
      </c>
      <c r="B15" s="10">
        <v>46037</v>
      </c>
      <c r="C15" s="9">
        <v>1</v>
      </c>
      <c r="D15" s="9">
        <v>712100</v>
      </c>
      <c r="E15" t="s">
        <v>37</v>
      </c>
      <c r="F15" t="s">
        <v>33</v>
      </c>
      <c r="G15">
        <v>4200</v>
      </c>
      <c r="H15" t="s">
        <v>35</v>
      </c>
      <c r="I15" s="9">
        <v>41790</v>
      </c>
      <c r="J15" s="9" t="s">
        <v>13</v>
      </c>
      <c r="K15" s="9">
        <v>50</v>
      </c>
      <c r="L15" s="9" t="s">
        <v>38</v>
      </c>
    </row>
    <row r="16" spans="1:12" x14ac:dyDescent="0.35">
      <c r="A16">
        <v>100006</v>
      </c>
      <c r="B16" s="10">
        <v>46040</v>
      </c>
      <c r="C16" s="9">
        <v>1</v>
      </c>
      <c r="D16" s="9">
        <v>342100</v>
      </c>
      <c r="E16" t="s">
        <v>28</v>
      </c>
      <c r="F16" t="s">
        <v>12</v>
      </c>
      <c r="G16">
        <v>72000</v>
      </c>
      <c r="H16" t="s">
        <v>13</v>
      </c>
      <c r="I16" s="9">
        <v>72000</v>
      </c>
      <c r="J16" s="9" t="s">
        <v>13</v>
      </c>
      <c r="K16" s="9">
        <v>50</v>
      </c>
      <c r="L16" s="9" t="s">
        <v>39</v>
      </c>
    </row>
    <row r="17" spans="1:12" x14ac:dyDescent="0.35">
      <c r="A17">
        <v>100006</v>
      </c>
      <c r="B17" s="10">
        <v>46040</v>
      </c>
      <c r="C17" s="9">
        <v>1</v>
      </c>
      <c r="D17" s="9">
        <v>514100</v>
      </c>
      <c r="E17" t="s">
        <v>15</v>
      </c>
      <c r="F17" t="s">
        <v>12</v>
      </c>
      <c r="G17">
        <v>72000</v>
      </c>
      <c r="H17" t="s">
        <v>13</v>
      </c>
      <c r="I17" s="9">
        <v>72000</v>
      </c>
      <c r="J17" s="9" t="s">
        <v>13</v>
      </c>
      <c r="K17" s="9">
        <v>40</v>
      </c>
      <c r="L17" s="9" t="s">
        <v>40</v>
      </c>
    </row>
    <row r="18" spans="1:12" x14ac:dyDescent="0.35">
      <c r="A18">
        <v>100007</v>
      </c>
      <c r="B18" s="10">
        <v>46041</v>
      </c>
      <c r="C18" s="9">
        <v>1</v>
      </c>
      <c r="D18" s="9">
        <v>441100</v>
      </c>
      <c r="E18" t="s">
        <v>19</v>
      </c>
      <c r="F18" t="s">
        <v>12</v>
      </c>
      <c r="G18">
        <v>42000</v>
      </c>
      <c r="H18" t="s">
        <v>13</v>
      </c>
      <c r="I18" s="9">
        <v>42000</v>
      </c>
      <c r="J18" s="9" t="s">
        <v>13</v>
      </c>
      <c r="K18" s="9">
        <v>40</v>
      </c>
      <c r="L18" s="9" t="s">
        <v>41</v>
      </c>
    </row>
    <row r="19" spans="1:12" x14ac:dyDescent="0.35">
      <c r="A19">
        <v>100007</v>
      </c>
      <c r="B19" s="10">
        <v>46041</v>
      </c>
      <c r="C19" s="9">
        <v>1</v>
      </c>
      <c r="D19" s="9">
        <v>514100</v>
      </c>
      <c r="E19" t="s">
        <v>15</v>
      </c>
      <c r="F19" t="s">
        <v>12</v>
      </c>
      <c r="G19">
        <v>42000</v>
      </c>
      <c r="H19" t="s">
        <v>13</v>
      </c>
      <c r="I19" s="9">
        <v>42000</v>
      </c>
      <c r="J19" s="9" t="s">
        <v>13</v>
      </c>
      <c r="K19" s="9">
        <v>50</v>
      </c>
      <c r="L19" s="9" t="s">
        <v>42</v>
      </c>
    </row>
    <row r="20" spans="1:12" x14ac:dyDescent="0.35">
      <c r="A20">
        <v>100008</v>
      </c>
      <c r="B20" s="10">
        <v>46042</v>
      </c>
      <c r="C20" s="9">
        <v>1</v>
      </c>
      <c r="D20" s="9">
        <v>514100</v>
      </c>
      <c r="E20" t="s">
        <v>15</v>
      </c>
      <c r="F20" t="s">
        <v>12</v>
      </c>
      <c r="G20">
        <v>36000</v>
      </c>
      <c r="H20" t="s">
        <v>13</v>
      </c>
      <c r="I20" s="9">
        <v>36000</v>
      </c>
      <c r="J20" s="9" t="s">
        <v>13</v>
      </c>
      <c r="K20" s="9">
        <v>50</v>
      </c>
      <c r="L20" s="9" t="s">
        <v>43</v>
      </c>
    </row>
    <row r="21" spans="1:12" x14ac:dyDescent="0.35">
      <c r="A21">
        <v>100008</v>
      </c>
      <c r="B21" s="10">
        <v>46042</v>
      </c>
      <c r="C21" s="9">
        <v>1</v>
      </c>
      <c r="D21" s="9">
        <v>617100</v>
      </c>
      <c r="E21" t="s">
        <v>44</v>
      </c>
      <c r="F21" t="s">
        <v>45</v>
      </c>
      <c r="G21">
        <v>36000</v>
      </c>
      <c r="H21" t="s">
        <v>13</v>
      </c>
      <c r="I21" s="9">
        <v>36000</v>
      </c>
      <c r="J21" s="9" t="s">
        <v>13</v>
      </c>
      <c r="K21" s="9">
        <v>40</v>
      </c>
      <c r="L21" s="9" t="s">
        <v>46</v>
      </c>
    </row>
    <row r="22" spans="1:12" x14ac:dyDescent="0.35">
      <c r="A22">
        <v>100009</v>
      </c>
      <c r="B22" s="10">
        <v>46043</v>
      </c>
      <c r="C22" s="9">
        <v>1</v>
      </c>
      <c r="D22" s="9">
        <v>514100</v>
      </c>
      <c r="E22" t="s">
        <v>15</v>
      </c>
      <c r="F22" t="s">
        <v>12</v>
      </c>
      <c r="G22">
        <v>9500</v>
      </c>
      <c r="H22" t="s">
        <v>13</v>
      </c>
      <c r="I22" s="9">
        <v>9500</v>
      </c>
      <c r="J22" s="9" t="s">
        <v>13</v>
      </c>
      <c r="K22" s="9">
        <v>50</v>
      </c>
      <c r="L22" s="9" t="s">
        <v>47</v>
      </c>
    </row>
    <row r="23" spans="1:12" x14ac:dyDescent="0.35">
      <c r="A23">
        <v>100009</v>
      </c>
      <c r="B23" s="10">
        <v>46043</v>
      </c>
      <c r="C23" s="9">
        <v>1</v>
      </c>
      <c r="D23" s="9">
        <v>613100</v>
      </c>
      <c r="E23" t="s">
        <v>48</v>
      </c>
      <c r="F23" t="s">
        <v>45</v>
      </c>
      <c r="G23">
        <v>9500</v>
      </c>
      <c r="H23" t="s">
        <v>13</v>
      </c>
      <c r="I23" s="9">
        <v>9500</v>
      </c>
      <c r="J23" s="9" t="s">
        <v>13</v>
      </c>
      <c r="K23" s="9">
        <v>40</v>
      </c>
      <c r="L23" s="9" t="s">
        <v>49</v>
      </c>
    </row>
    <row r="24" spans="1:12" x14ac:dyDescent="0.35">
      <c r="A24">
        <v>100010</v>
      </c>
      <c r="B24" s="10">
        <v>46044</v>
      </c>
      <c r="C24" s="9">
        <v>1</v>
      </c>
      <c r="D24" s="9">
        <v>514100</v>
      </c>
      <c r="E24" t="s">
        <v>15</v>
      </c>
      <c r="F24" t="s">
        <v>12</v>
      </c>
      <c r="G24">
        <v>6200</v>
      </c>
      <c r="H24" t="s">
        <v>13</v>
      </c>
      <c r="I24" s="9">
        <v>6200</v>
      </c>
      <c r="J24" s="9" t="s">
        <v>13</v>
      </c>
      <c r="K24" s="9">
        <v>50</v>
      </c>
      <c r="L24" s="9" t="s">
        <v>50</v>
      </c>
    </row>
    <row r="25" spans="1:12" x14ac:dyDescent="0.35">
      <c r="A25">
        <v>100010</v>
      </c>
      <c r="B25" s="10">
        <v>46044</v>
      </c>
      <c r="C25" s="9">
        <v>1</v>
      </c>
      <c r="D25" s="9">
        <v>514100</v>
      </c>
      <c r="E25" t="s">
        <v>15</v>
      </c>
      <c r="F25" t="s">
        <v>12</v>
      </c>
      <c r="G25">
        <v>6200</v>
      </c>
      <c r="H25" t="s">
        <v>13</v>
      </c>
      <c r="I25" s="9">
        <v>6200</v>
      </c>
      <c r="J25" s="9" t="s">
        <v>13</v>
      </c>
      <c r="K25" s="9">
        <v>50</v>
      </c>
      <c r="L25" s="9" t="s">
        <v>50</v>
      </c>
    </row>
    <row r="26" spans="1:12" x14ac:dyDescent="0.35">
      <c r="A26">
        <v>100010</v>
      </c>
      <c r="B26" s="10">
        <v>46044</v>
      </c>
      <c r="C26" s="9">
        <v>1</v>
      </c>
      <c r="D26" s="9">
        <v>614100</v>
      </c>
      <c r="E26" t="s">
        <v>51</v>
      </c>
      <c r="F26" t="s">
        <v>22</v>
      </c>
      <c r="G26">
        <v>6200</v>
      </c>
      <c r="H26" t="s">
        <v>13</v>
      </c>
      <c r="I26" s="9">
        <v>6200</v>
      </c>
      <c r="J26" s="9" t="s">
        <v>13</v>
      </c>
      <c r="K26" s="9">
        <v>40</v>
      </c>
      <c r="L26" s="9" t="s">
        <v>52</v>
      </c>
    </row>
    <row r="27" spans="1:12" x14ac:dyDescent="0.35">
      <c r="A27">
        <v>100011</v>
      </c>
      <c r="B27" s="10">
        <v>46045</v>
      </c>
      <c r="C27" s="9">
        <v>1</v>
      </c>
      <c r="D27" s="9">
        <v>514100</v>
      </c>
      <c r="E27" t="s">
        <v>15</v>
      </c>
      <c r="F27" t="s">
        <v>12</v>
      </c>
      <c r="G27">
        <v>4500</v>
      </c>
      <c r="H27" t="s">
        <v>13</v>
      </c>
      <c r="I27" s="9">
        <v>4500</v>
      </c>
      <c r="J27" s="9" t="s">
        <v>13</v>
      </c>
      <c r="K27" s="9">
        <v>50</v>
      </c>
      <c r="L27" s="9" t="s">
        <v>53</v>
      </c>
    </row>
    <row r="28" spans="1:12" x14ac:dyDescent="0.35">
      <c r="A28">
        <v>100011</v>
      </c>
      <c r="B28" s="10">
        <v>46045</v>
      </c>
      <c r="C28" s="9">
        <v>1</v>
      </c>
      <c r="D28" s="9">
        <v>618100</v>
      </c>
      <c r="E28" t="s">
        <v>54</v>
      </c>
      <c r="F28" t="s">
        <v>55</v>
      </c>
      <c r="G28">
        <v>4500</v>
      </c>
      <c r="H28" t="s">
        <v>13</v>
      </c>
      <c r="I28" s="9">
        <v>4500</v>
      </c>
      <c r="J28" s="9" t="s">
        <v>13</v>
      </c>
      <c r="K28" s="9">
        <v>40</v>
      </c>
      <c r="L28" s="9" t="s">
        <v>56</v>
      </c>
    </row>
    <row r="29" spans="1:12" x14ac:dyDescent="0.35">
      <c r="A29">
        <v>100012</v>
      </c>
      <c r="B29" s="10">
        <v>46049</v>
      </c>
      <c r="C29" s="9">
        <v>1</v>
      </c>
      <c r="D29" s="9">
        <v>311100</v>
      </c>
      <c r="E29" t="s">
        <v>57</v>
      </c>
      <c r="F29" t="s">
        <v>12</v>
      </c>
      <c r="G29">
        <v>7000</v>
      </c>
      <c r="H29" t="s">
        <v>13</v>
      </c>
      <c r="I29" s="9">
        <v>7000</v>
      </c>
      <c r="J29" s="9" t="s">
        <v>13</v>
      </c>
      <c r="K29" s="9">
        <v>40</v>
      </c>
      <c r="L29" s="9" t="s">
        <v>58</v>
      </c>
    </row>
    <row r="30" spans="1:12" x14ac:dyDescent="0.35">
      <c r="A30">
        <v>100012</v>
      </c>
      <c r="B30" s="10">
        <v>46049</v>
      </c>
      <c r="C30" s="9">
        <v>1</v>
      </c>
      <c r="D30" s="9">
        <v>611100</v>
      </c>
      <c r="E30" t="s">
        <v>21</v>
      </c>
      <c r="F30" t="s">
        <v>22</v>
      </c>
      <c r="G30">
        <v>7000</v>
      </c>
      <c r="H30" t="s">
        <v>13</v>
      </c>
      <c r="I30" s="9">
        <v>7000</v>
      </c>
      <c r="J30" s="9" t="s">
        <v>13</v>
      </c>
      <c r="K30" s="9">
        <v>50</v>
      </c>
      <c r="L30" s="9" t="s">
        <v>59</v>
      </c>
    </row>
    <row r="31" spans="1:12" x14ac:dyDescent="0.35">
      <c r="A31">
        <v>100013</v>
      </c>
      <c r="B31" s="10">
        <v>46050</v>
      </c>
      <c r="C31" s="9">
        <v>1</v>
      </c>
      <c r="D31" s="9">
        <v>514100</v>
      </c>
      <c r="E31" t="s">
        <v>15</v>
      </c>
      <c r="F31" t="s">
        <v>12</v>
      </c>
      <c r="G31">
        <v>6500</v>
      </c>
      <c r="H31" t="s">
        <v>13</v>
      </c>
      <c r="I31" s="9">
        <v>6500</v>
      </c>
      <c r="J31" s="9" t="s">
        <v>13</v>
      </c>
      <c r="K31" s="9">
        <v>50</v>
      </c>
      <c r="L31" s="9" t="s">
        <v>60</v>
      </c>
    </row>
    <row r="32" spans="1:12" x14ac:dyDescent="0.35">
      <c r="A32">
        <v>100013</v>
      </c>
      <c r="B32" s="10">
        <v>46050</v>
      </c>
      <c r="C32" s="9">
        <v>1</v>
      </c>
      <c r="D32" s="9">
        <v>619100</v>
      </c>
      <c r="E32" t="s">
        <v>61</v>
      </c>
      <c r="F32" t="s">
        <v>55</v>
      </c>
      <c r="G32">
        <v>6500</v>
      </c>
      <c r="H32" t="s">
        <v>13</v>
      </c>
      <c r="I32" s="9">
        <v>6500</v>
      </c>
      <c r="J32" s="9" t="s">
        <v>13</v>
      </c>
      <c r="K32" s="9">
        <v>40</v>
      </c>
      <c r="L32" s="9" t="s">
        <v>62</v>
      </c>
    </row>
    <row r="33" spans="1:12" x14ac:dyDescent="0.35">
      <c r="A33">
        <v>100014</v>
      </c>
      <c r="B33" s="10">
        <v>46058</v>
      </c>
      <c r="C33" s="9">
        <v>2</v>
      </c>
      <c r="D33" s="9">
        <v>345500</v>
      </c>
      <c r="E33" t="s">
        <v>17</v>
      </c>
      <c r="F33" t="s">
        <v>12</v>
      </c>
      <c r="G33">
        <v>13600</v>
      </c>
      <c r="H33" t="s">
        <v>13</v>
      </c>
      <c r="I33" s="9">
        <v>13600</v>
      </c>
      <c r="J33" s="9" t="s">
        <v>13</v>
      </c>
      <c r="K33" s="9">
        <v>40</v>
      </c>
      <c r="L33" s="9" t="s">
        <v>18</v>
      </c>
    </row>
    <row r="34" spans="1:12" x14ac:dyDescent="0.35">
      <c r="A34">
        <v>100014</v>
      </c>
      <c r="B34" s="10">
        <v>46058</v>
      </c>
      <c r="C34" s="9">
        <v>2</v>
      </c>
      <c r="D34" s="9">
        <v>441100</v>
      </c>
      <c r="E34" t="s">
        <v>19</v>
      </c>
      <c r="F34" t="s">
        <v>12</v>
      </c>
      <c r="G34">
        <v>81600</v>
      </c>
      <c r="H34" t="s">
        <v>13</v>
      </c>
      <c r="I34" s="9">
        <v>81600</v>
      </c>
      <c r="J34" s="9" t="s">
        <v>13</v>
      </c>
      <c r="K34" s="9">
        <v>50</v>
      </c>
      <c r="L34" s="9" t="s">
        <v>20</v>
      </c>
    </row>
    <row r="35" spans="1:12" x14ac:dyDescent="0.35">
      <c r="A35">
        <v>100014</v>
      </c>
      <c r="B35" s="10">
        <v>46058</v>
      </c>
      <c r="C35" s="9">
        <v>2</v>
      </c>
      <c r="D35" s="9">
        <v>611100</v>
      </c>
      <c r="E35" t="s">
        <v>21</v>
      </c>
      <c r="F35" t="s">
        <v>22</v>
      </c>
      <c r="G35">
        <v>68000</v>
      </c>
      <c r="H35" t="s">
        <v>13</v>
      </c>
      <c r="I35" s="9">
        <v>68000</v>
      </c>
      <c r="J35" s="9" t="s">
        <v>13</v>
      </c>
      <c r="K35" s="9">
        <v>40</v>
      </c>
      <c r="L35" s="9" t="s">
        <v>23</v>
      </c>
    </row>
    <row r="36" spans="1:12" x14ac:dyDescent="0.35">
      <c r="A36">
        <v>100015</v>
      </c>
      <c r="B36" s="10">
        <v>46061</v>
      </c>
      <c r="C36" s="9">
        <v>2</v>
      </c>
      <c r="D36" s="9">
        <v>345500</v>
      </c>
      <c r="E36" t="s">
        <v>17</v>
      </c>
      <c r="F36" t="s">
        <v>12</v>
      </c>
      <c r="G36">
        <v>8790.4</v>
      </c>
      <c r="H36" t="s">
        <v>13</v>
      </c>
      <c r="I36" s="9">
        <v>8790.4</v>
      </c>
      <c r="J36" s="9" t="s">
        <v>13</v>
      </c>
      <c r="K36" s="9">
        <v>40</v>
      </c>
      <c r="L36" s="9" t="s">
        <v>24</v>
      </c>
    </row>
    <row r="37" spans="1:12" x14ac:dyDescent="0.35">
      <c r="A37">
        <v>100015</v>
      </c>
      <c r="B37" s="10">
        <v>46061</v>
      </c>
      <c r="C37" s="9">
        <v>2</v>
      </c>
      <c r="D37" s="9">
        <v>441100</v>
      </c>
      <c r="E37" t="s">
        <v>19</v>
      </c>
      <c r="F37" t="s">
        <v>12</v>
      </c>
      <c r="G37">
        <v>52742.400000000001</v>
      </c>
      <c r="H37" t="s">
        <v>13</v>
      </c>
      <c r="I37" s="9">
        <v>52742.400000000001</v>
      </c>
      <c r="J37" s="9" t="s">
        <v>13</v>
      </c>
      <c r="K37" s="9">
        <v>50</v>
      </c>
      <c r="L37" s="9" t="s">
        <v>25</v>
      </c>
    </row>
    <row r="38" spans="1:12" x14ac:dyDescent="0.35">
      <c r="A38">
        <v>100015</v>
      </c>
      <c r="B38" s="10">
        <v>46061</v>
      </c>
      <c r="C38" s="9">
        <v>2</v>
      </c>
      <c r="D38" s="9">
        <v>611100</v>
      </c>
      <c r="E38" t="s">
        <v>21</v>
      </c>
      <c r="F38" t="s">
        <v>22</v>
      </c>
      <c r="G38">
        <v>4100</v>
      </c>
      <c r="H38" t="s">
        <v>26</v>
      </c>
      <c r="I38" s="9">
        <v>43952</v>
      </c>
      <c r="J38" s="9" t="s">
        <v>13</v>
      </c>
      <c r="K38" s="9">
        <v>40</v>
      </c>
      <c r="L38" s="9" t="s">
        <v>27</v>
      </c>
    </row>
    <row r="39" spans="1:12" x14ac:dyDescent="0.35">
      <c r="A39">
        <v>100016</v>
      </c>
      <c r="B39" s="10">
        <v>46063</v>
      </c>
      <c r="C39" s="9">
        <v>2</v>
      </c>
      <c r="D39" s="9">
        <v>342100</v>
      </c>
      <c r="E39" t="s">
        <v>28</v>
      </c>
      <c r="F39" t="s">
        <v>12</v>
      </c>
      <c r="G39">
        <v>110400</v>
      </c>
      <c r="H39" t="s">
        <v>13</v>
      </c>
      <c r="I39" s="9">
        <v>110400</v>
      </c>
      <c r="J39" s="9" t="s">
        <v>13</v>
      </c>
      <c r="K39" s="9">
        <v>40</v>
      </c>
      <c r="L39" s="9" t="s">
        <v>29</v>
      </c>
    </row>
    <row r="40" spans="1:12" x14ac:dyDescent="0.35">
      <c r="A40">
        <v>100016</v>
      </c>
      <c r="B40" s="10">
        <v>46063</v>
      </c>
      <c r="C40" s="9">
        <v>2</v>
      </c>
      <c r="D40" s="9">
        <v>445500</v>
      </c>
      <c r="E40" t="s">
        <v>30</v>
      </c>
      <c r="F40" t="s">
        <v>12</v>
      </c>
      <c r="G40">
        <v>18400</v>
      </c>
      <c r="H40" t="s">
        <v>13</v>
      </c>
      <c r="I40" s="9">
        <v>18400</v>
      </c>
      <c r="J40" s="9" t="s">
        <v>13</v>
      </c>
      <c r="K40" s="9">
        <v>50</v>
      </c>
      <c r="L40" s="9" t="s">
        <v>31</v>
      </c>
    </row>
    <row r="41" spans="1:12" x14ac:dyDescent="0.35">
      <c r="A41">
        <v>100016</v>
      </c>
      <c r="B41" s="10">
        <v>46063</v>
      </c>
      <c r="C41" s="9">
        <v>2</v>
      </c>
      <c r="D41" s="9">
        <v>711100</v>
      </c>
      <c r="E41" t="s">
        <v>32</v>
      </c>
      <c r="F41" t="s">
        <v>33</v>
      </c>
      <c r="G41">
        <v>92000</v>
      </c>
      <c r="H41" t="s">
        <v>13</v>
      </c>
      <c r="I41" s="9">
        <v>92000</v>
      </c>
      <c r="J41" s="9" t="s">
        <v>13</v>
      </c>
      <c r="K41" s="9">
        <v>50</v>
      </c>
      <c r="L41" s="9" t="s">
        <v>34</v>
      </c>
    </row>
    <row r="42" spans="1:12" x14ac:dyDescent="0.35">
      <c r="A42">
        <v>100017</v>
      </c>
      <c r="B42" s="10">
        <v>46068</v>
      </c>
      <c r="C42" s="9">
        <v>2</v>
      </c>
      <c r="D42" s="9">
        <v>342100</v>
      </c>
      <c r="E42" t="s">
        <v>28</v>
      </c>
      <c r="F42" t="s">
        <v>12</v>
      </c>
      <c r="G42">
        <v>5100</v>
      </c>
      <c r="H42" t="s">
        <v>35</v>
      </c>
      <c r="I42" s="9">
        <v>50082</v>
      </c>
      <c r="J42" s="9" t="s">
        <v>13</v>
      </c>
      <c r="K42" s="9">
        <v>40</v>
      </c>
      <c r="L42" s="9" t="s">
        <v>36</v>
      </c>
    </row>
    <row r="43" spans="1:12" x14ac:dyDescent="0.35">
      <c r="A43">
        <v>100017</v>
      </c>
      <c r="B43" s="10">
        <v>46068</v>
      </c>
      <c r="C43" s="9">
        <v>2</v>
      </c>
      <c r="D43" s="9">
        <v>712100</v>
      </c>
      <c r="E43" t="s">
        <v>37</v>
      </c>
      <c r="F43" t="s">
        <v>33</v>
      </c>
      <c r="G43">
        <v>5100</v>
      </c>
      <c r="H43" t="s">
        <v>35</v>
      </c>
      <c r="I43" s="9">
        <v>50082</v>
      </c>
      <c r="J43" s="9" t="s">
        <v>13</v>
      </c>
      <c r="K43" s="9">
        <v>50</v>
      </c>
      <c r="L43" s="9" t="s">
        <v>38</v>
      </c>
    </row>
    <row r="44" spans="1:12" x14ac:dyDescent="0.35">
      <c r="A44">
        <v>100018</v>
      </c>
      <c r="B44" s="10">
        <v>46071</v>
      </c>
      <c r="C44" s="9">
        <v>2</v>
      </c>
      <c r="D44" s="9">
        <v>342100</v>
      </c>
      <c r="E44" t="s">
        <v>28</v>
      </c>
      <c r="F44" t="s">
        <v>12</v>
      </c>
      <c r="G44">
        <v>80000</v>
      </c>
      <c r="H44" t="s">
        <v>13</v>
      </c>
      <c r="I44" s="9">
        <v>80000</v>
      </c>
      <c r="J44" s="9" t="s">
        <v>13</v>
      </c>
      <c r="K44" s="9">
        <v>50</v>
      </c>
      <c r="L44" s="9" t="s">
        <v>39</v>
      </c>
    </row>
    <row r="45" spans="1:12" x14ac:dyDescent="0.35">
      <c r="A45">
        <v>100018</v>
      </c>
      <c r="B45" s="10">
        <v>46071</v>
      </c>
      <c r="C45" s="9">
        <v>2</v>
      </c>
      <c r="D45" s="9">
        <v>514100</v>
      </c>
      <c r="E45" t="s">
        <v>15</v>
      </c>
      <c r="F45" t="s">
        <v>12</v>
      </c>
      <c r="G45">
        <v>80000</v>
      </c>
      <c r="H45" t="s">
        <v>13</v>
      </c>
      <c r="I45" s="9">
        <v>80000</v>
      </c>
      <c r="J45" s="9" t="s">
        <v>13</v>
      </c>
      <c r="K45" s="9">
        <v>40</v>
      </c>
      <c r="L45" s="9" t="s">
        <v>40</v>
      </c>
    </row>
    <row r="46" spans="1:12" x14ac:dyDescent="0.35">
      <c r="A46">
        <v>100019</v>
      </c>
      <c r="B46" s="10">
        <v>46072</v>
      </c>
      <c r="C46" s="9">
        <v>2</v>
      </c>
      <c r="D46" s="9">
        <v>441100</v>
      </c>
      <c r="E46" t="s">
        <v>19</v>
      </c>
      <c r="F46" t="s">
        <v>12</v>
      </c>
      <c r="G46">
        <v>56000</v>
      </c>
      <c r="H46" t="s">
        <v>13</v>
      </c>
      <c r="I46" s="9">
        <v>56000</v>
      </c>
      <c r="J46" s="9" t="s">
        <v>13</v>
      </c>
      <c r="K46" s="9">
        <v>40</v>
      </c>
      <c r="L46" s="9" t="s">
        <v>41</v>
      </c>
    </row>
    <row r="47" spans="1:12" x14ac:dyDescent="0.35">
      <c r="A47">
        <v>100019</v>
      </c>
      <c r="B47" s="10">
        <v>46072</v>
      </c>
      <c r="C47" s="9">
        <v>2</v>
      </c>
      <c r="D47" s="9">
        <v>514100</v>
      </c>
      <c r="E47" t="s">
        <v>15</v>
      </c>
      <c r="F47" t="s">
        <v>12</v>
      </c>
      <c r="G47">
        <v>56000</v>
      </c>
      <c r="H47" t="s">
        <v>13</v>
      </c>
      <c r="I47" s="9">
        <v>56000</v>
      </c>
      <c r="J47" s="9" t="s">
        <v>13</v>
      </c>
      <c r="K47" s="9">
        <v>50</v>
      </c>
      <c r="L47" s="9" t="s">
        <v>42</v>
      </c>
    </row>
    <row r="48" spans="1:12" x14ac:dyDescent="0.35">
      <c r="A48">
        <v>100020</v>
      </c>
      <c r="B48" s="10">
        <v>46073</v>
      </c>
      <c r="C48" s="9">
        <v>2</v>
      </c>
      <c r="D48" s="9">
        <v>514100</v>
      </c>
      <c r="E48" t="s">
        <v>15</v>
      </c>
      <c r="F48" t="s">
        <v>12</v>
      </c>
      <c r="G48">
        <v>36500</v>
      </c>
      <c r="H48" t="s">
        <v>13</v>
      </c>
      <c r="I48" s="9">
        <v>36500</v>
      </c>
      <c r="J48" s="9" t="s">
        <v>13</v>
      </c>
      <c r="K48" s="9">
        <v>50</v>
      </c>
      <c r="L48" s="9" t="s">
        <v>43</v>
      </c>
    </row>
    <row r="49" spans="1:12" x14ac:dyDescent="0.35">
      <c r="A49">
        <v>100020</v>
      </c>
      <c r="B49" s="10">
        <v>46073</v>
      </c>
      <c r="C49" s="9">
        <v>2</v>
      </c>
      <c r="D49" s="9">
        <v>617100</v>
      </c>
      <c r="E49" t="s">
        <v>44</v>
      </c>
      <c r="F49" t="s">
        <v>45</v>
      </c>
      <c r="G49">
        <v>36500</v>
      </c>
      <c r="H49" t="s">
        <v>13</v>
      </c>
      <c r="I49" s="9">
        <v>36500</v>
      </c>
      <c r="J49" s="9" t="s">
        <v>13</v>
      </c>
      <c r="K49" s="9">
        <v>40</v>
      </c>
      <c r="L49" s="9" t="s">
        <v>46</v>
      </c>
    </row>
    <row r="50" spans="1:12" x14ac:dyDescent="0.35">
      <c r="A50">
        <v>100021</v>
      </c>
      <c r="B50" s="10">
        <v>46074</v>
      </c>
      <c r="C50" s="9">
        <v>2</v>
      </c>
      <c r="D50" s="9">
        <v>514100</v>
      </c>
      <c r="E50" t="s">
        <v>15</v>
      </c>
      <c r="F50" t="s">
        <v>12</v>
      </c>
      <c r="G50">
        <v>9500</v>
      </c>
      <c r="H50" t="s">
        <v>13</v>
      </c>
      <c r="I50" s="9">
        <v>9500</v>
      </c>
      <c r="J50" s="9" t="s">
        <v>13</v>
      </c>
      <c r="K50" s="9">
        <v>50</v>
      </c>
      <c r="L50" s="9" t="s">
        <v>47</v>
      </c>
    </row>
    <row r="51" spans="1:12" x14ac:dyDescent="0.35">
      <c r="A51">
        <v>100021</v>
      </c>
      <c r="B51" s="10">
        <v>46074</v>
      </c>
      <c r="C51" s="9">
        <v>2</v>
      </c>
      <c r="D51" s="9">
        <v>613100</v>
      </c>
      <c r="E51" t="s">
        <v>48</v>
      </c>
      <c r="F51" t="s">
        <v>45</v>
      </c>
      <c r="G51">
        <v>9500</v>
      </c>
      <c r="H51" t="s">
        <v>13</v>
      </c>
      <c r="I51" s="9">
        <v>9500</v>
      </c>
      <c r="J51" s="9" t="s">
        <v>13</v>
      </c>
      <c r="K51" s="9">
        <v>40</v>
      </c>
      <c r="L51" s="9" t="s">
        <v>49</v>
      </c>
    </row>
    <row r="52" spans="1:12" x14ac:dyDescent="0.35">
      <c r="A52">
        <v>100022</v>
      </c>
      <c r="B52" s="10">
        <v>46075</v>
      </c>
      <c r="C52" s="9">
        <v>2</v>
      </c>
      <c r="D52" s="9">
        <v>514100</v>
      </c>
      <c r="E52" t="s">
        <v>15</v>
      </c>
      <c r="F52" t="s">
        <v>12</v>
      </c>
      <c r="G52">
        <v>7100</v>
      </c>
      <c r="H52" t="s">
        <v>13</v>
      </c>
      <c r="I52" s="9">
        <v>7100</v>
      </c>
      <c r="J52" s="9" t="s">
        <v>13</v>
      </c>
      <c r="K52" s="9">
        <v>50</v>
      </c>
      <c r="L52" s="9" t="s">
        <v>50</v>
      </c>
    </row>
    <row r="53" spans="1:12" x14ac:dyDescent="0.35">
      <c r="A53">
        <v>100022</v>
      </c>
      <c r="B53" s="10">
        <v>46075</v>
      </c>
      <c r="C53" s="9">
        <v>2</v>
      </c>
      <c r="D53" s="9">
        <v>614100</v>
      </c>
      <c r="E53" t="s">
        <v>51</v>
      </c>
      <c r="F53" t="s">
        <v>22</v>
      </c>
      <c r="G53">
        <v>7100</v>
      </c>
      <c r="H53" t="s">
        <v>13</v>
      </c>
      <c r="I53" s="9">
        <v>7100</v>
      </c>
      <c r="J53" s="9" t="s">
        <v>13</v>
      </c>
      <c r="K53" s="9">
        <v>40</v>
      </c>
      <c r="L53" s="9" t="s">
        <v>52</v>
      </c>
    </row>
    <row r="54" spans="1:12" x14ac:dyDescent="0.35">
      <c r="A54">
        <v>100023</v>
      </c>
      <c r="B54" s="10">
        <v>46076</v>
      </c>
      <c r="C54" s="9">
        <v>2</v>
      </c>
      <c r="D54" s="9">
        <v>514100</v>
      </c>
      <c r="E54" t="s">
        <v>15</v>
      </c>
      <c r="F54" t="s">
        <v>12</v>
      </c>
      <c r="G54">
        <v>5200</v>
      </c>
      <c r="H54" t="s">
        <v>13</v>
      </c>
      <c r="I54" s="9">
        <v>5200</v>
      </c>
      <c r="J54" s="9" t="s">
        <v>13</v>
      </c>
      <c r="K54" s="9">
        <v>50</v>
      </c>
      <c r="L54" s="9" t="s">
        <v>53</v>
      </c>
    </row>
    <row r="55" spans="1:12" x14ac:dyDescent="0.35">
      <c r="A55">
        <v>100023</v>
      </c>
      <c r="B55" s="10">
        <v>46076</v>
      </c>
      <c r="C55" s="9">
        <v>2</v>
      </c>
      <c r="D55" s="9">
        <v>618100</v>
      </c>
      <c r="E55" t="s">
        <v>54</v>
      </c>
      <c r="F55" t="s">
        <v>55</v>
      </c>
      <c r="G55">
        <v>5200</v>
      </c>
      <c r="H55" t="s">
        <v>13</v>
      </c>
      <c r="I55" s="9">
        <v>5200</v>
      </c>
      <c r="J55" s="9" t="s">
        <v>13</v>
      </c>
      <c r="K55" s="9">
        <v>40</v>
      </c>
      <c r="L55" s="9" t="s">
        <v>56</v>
      </c>
    </row>
    <row r="56" spans="1:12" x14ac:dyDescent="0.35">
      <c r="A56">
        <v>100024</v>
      </c>
      <c r="B56" s="10">
        <v>46080</v>
      </c>
      <c r="C56" s="9">
        <v>2</v>
      </c>
      <c r="D56" s="9">
        <v>311100</v>
      </c>
      <c r="E56" t="s">
        <v>57</v>
      </c>
      <c r="F56" t="s">
        <v>12</v>
      </c>
      <c r="G56">
        <v>9000</v>
      </c>
      <c r="H56" t="s">
        <v>13</v>
      </c>
      <c r="I56" s="9">
        <v>9000</v>
      </c>
      <c r="J56" s="9" t="s">
        <v>13</v>
      </c>
      <c r="K56" s="9">
        <v>40</v>
      </c>
      <c r="L56" s="9" t="s">
        <v>58</v>
      </c>
    </row>
    <row r="57" spans="1:12" x14ac:dyDescent="0.35">
      <c r="A57">
        <v>100024</v>
      </c>
      <c r="B57" s="10">
        <v>46080</v>
      </c>
      <c r="C57" s="9">
        <v>2</v>
      </c>
      <c r="D57" s="9">
        <v>611100</v>
      </c>
      <c r="E57" t="s">
        <v>21</v>
      </c>
      <c r="F57" t="s">
        <v>22</v>
      </c>
      <c r="G57">
        <v>9000</v>
      </c>
      <c r="H57" t="s">
        <v>13</v>
      </c>
      <c r="I57" s="9">
        <v>9000</v>
      </c>
      <c r="J57" s="9" t="s">
        <v>13</v>
      </c>
      <c r="K57" s="9">
        <v>50</v>
      </c>
      <c r="L57" s="9" t="s">
        <v>59</v>
      </c>
    </row>
    <row r="58" spans="1:12" x14ac:dyDescent="0.35">
      <c r="A58">
        <v>100025</v>
      </c>
      <c r="B58" s="10">
        <v>46081</v>
      </c>
      <c r="C58" s="9">
        <v>2</v>
      </c>
      <c r="D58" s="9">
        <v>514100</v>
      </c>
      <c r="E58" t="s">
        <v>15</v>
      </c>
      <c r="F58" t="s">
        <v>12</v>
      </c>
      <c r="G58">
        <v>6500</v>
      </c>
      <c r="H58" t="s">
        <v>13</v>
      </c>
      <c r="I58" s="9">
        <v>6500</v>
      </c>
      <c r="J58" s="9" t="s">
        <v>13</v>
      </c>
      <c r="K58" s="9">
        <v>50</v>
      </c>
      <c r="L58" s="9" t="s">
        <v>60</v>
      </c>
    </row>
    <row r="59" spans="1:12" x14ac:dyDescent="0.35">
      <c r="A59">
        <v>100025</v>
      </c>
      <c r="B59" s="10">
        <v>46081</v>
      </c>
      <c r="C59" s="9">
        <v>2</v>
      </c>
      <c r="D59" s="9">
        <v>619100</v>
      </c>
      <c r="E59" t="s">
        <v>61</v>
      </c>
      <c r="F59" t="s">
        <v>55</v>
      </c>
      <c r="G59">
        <v>6500</v>
      </c>
      <c r="H59" t="s">
        <v>13</v>
      </c>
      <c r="I59" s="9">
        <v>6500</v>
      </c>
      <c r="J59" s="9" t="s">
        <v>13</v>
      </c>
      <c r="K59" s="9">
        <v>40</v>
      </c>
      <c r="L59" s="9" t="s">
        <v>62</v>
      </c>
    </row>
    <row r="60" spans="1:12" x14ac:dyDescent="0.35">
      <c r="A60">
        <v>100026</v>
      </c>
      <c r="B60" s="10">
        <v>46086</v>
      </c>
      <c r="C60" s="9">
        <v>3</v>
      </c>
      <c r="D60" s="9">
        <v>345500</v>
      </c>
      <c r="E60" t="s">
        <v>17</v>
      </c>
      <c r="F60" t="s">
        <v>12</v>
      </c>
      <c r="G60">
        <v>9500</v>
      </c>
      <c r="H60" t="s">
        <v>13</v>
      </c>
      <c r="I60" s="9">
        <v>9500</v>
      </c>
      <c r="J60" s="9" t="s">
        <v>13</v>
      </c>
      <c r="K60" s="9">
        <v>40</v>
      </c>
      <c r="L60" s="9" t="s">
        <v>18</v>
      </c>
    </row>
    <row r="61" spans="1:12" x14ac:dyDescent="0.35">
      <c r="A61">
        <v>100026</v>
      </c>
      <c r="B61" s="10">
        <v>46086</v>
      </c>
      <c r="C61" s="9">
        <v>3</v>
      </c>
      <c r="D61" s="9">
        <v>441100</v>
      </c>
      <c r="E61" t="s">
        <v>19</v>
      </c>
      <c r="F61" t="s">
        <v>12</v>
      </c>
      <c r="G61">
        <v>57000</v>
      </c>
      <c r="H61" t="s">
        <v>13</v>
      </c>
      <c r="I61" s="9">
        <v>57000</v>
      </c>
      <c r="J61" s="9" t="s">
        <v>13</v>
      </c>
      <c r="K61" s="9">
        <v>50</v>
      </c>
      <c r="L61" s="9" t="s">
        <v>20</v>
      </c>
    </row>
    <row r="62" spans="1:12" x14ac:dyDescent="0.35">
      <c r="A62">
        <v>100026</v>
      </c>
      <c r="B62" s="10">
        <v>46086</v>
      </c>
      <c r="C62" s="9">
        <v>3</v>
      </c>
      <c r="D62" s="9">
        <v>611100</v>
      </c>
      <c r="E62" t="s">
        <v>21</v>
      </c>
      <c r="F62" t="s">
        <v>22</v>
      </c>
      <c r="G62">
        <v>47500</v>
      </c>
      <c r="H62" t="s">
        <v>13</v>
      </c>
      <c r="I62" s="9">
        <v>47500</v>
      </c>
      <c r="J62" s="9" t="s">
        <v>13</v>
      </c>
      <c r="K62" s="9">
        <v>40</v>
      </c>
      <c r="L62" s="9" t="s">
        <v>23</v>
      </c>
    </row>
    <row r="63" spans="1:12" x14ac:dyDescent="0.35">
      <c r="A63">
        <v>100027</v>
      </c>
      <c r="B63" s="10">
        <v>46089</v>
      </c>
      <c r="C63" s="9">
        <v>3</v>
      </c>
      <c r="D63" s="9">
        <v>345500</v>
      </c>
      <c r="E63" t="s">
        <v>17</v>
      </c>
      <c r="F63" t="s">
        <v>12</v>
      </c>
      <c r="G63">
        <v>6109.6</v>
      </c>
      <c r="H63" t="s">
        <v>13</v>
      </c>
      <c r="I63" s="9">
        <v>6109.6</v>
      </c>
      <c r="J63" s="9" t="s">
        <v>13</v>
      </c>
      <c r="K63" s="9">
        <v>40</v>
      </c>
      <c r="L63" s="9" t="s">
        <v>24</v>
      </c>
    </row>
    <row r="64" spans="1:12" x14ac:dyDescent="0.35">
      <c r="A64">
        <v>100027</v>
      </c>
      <c r="B64" s="10">
        <v>46089</v>
      </c>
      <c r="C64" s="9">
        <v>3</v>
      </c>
      <c r="D64" s="9">
        <v>441100</v>
      </c>
      <c r="E64" t="s">
        <v>19</v>
      </c>
      <c r="F64" t="s">
        <v>12</v>
      </c>
      <c r="G64">
        <v>36657.599999999999</v>
      </c>
      <c r="H64" t="s">
        <v>13</v>
      </c>
      <c r="I64" s="9">
        <v>36657.599999999999</v>
      </c>
      <c r="J64" s="9" t="s">
        <v>13</v>
      </c>
      <c r="K64" s="9">
        <v>50</v>
      </c>
      <c r="L64" s="9" t="s">
        <v>25</v>
      </c>
    </row>
    <row r="65" spans="1:12" x14ac:dyDescent="0.35">
      <c r="A65">
        <v>100027</v>
      </c>
      <c r="B65" s="10">
        <v>46089</v>
      </c>
      <c r="C65" s="9">
        <v>3</v>
      </c>
      <c r="D65" s="9">
        <v>611100</v>
      </c>
      <c r="E65" t="s">
        <v>21</v>
      </c>
      <c r="F65" t="s">
        <v>22</v>
      </c>
      <c r="G65">
        <v>2800</v>
      </c>
      <c r="H65" t="s">
        <v>26</v>
      </c>
      <c r="I65" s="9">
        <v>30548</v>
      </c>
      <c r="J65" s="9" t="s">
        <v>13</v>
      </c>
      <c r="K65" s="9">
        <v>40</v>
      </c>
      <c r="L65" s="9" t="s">
        <v>27</v>
      </c>
    </row>
    <row r="66" spans="1:12" x14ac:dyDescent="0.35">
      <c r="A66">
        <v>100028</v>
      </c>
      <c r="B66" s="10">
        <v>46091</v>
      </c>
      <c r="C66" s="9">
        <v>3</v>
      </c>
      <c r="D66" s="9">
        <v>342100</v>
      </c>
      <c r="E66" t="s">
        <v>28</v>
      </c>
      <c r="F66" t="s">
        <v>12</v>
      </c>
      <c r="G66">
        <v>126000</v>
      </c>
      <c r="H66" t="s">
        <v>13</v>
      </c>
      <c r="I66" s="9">
        <v>126000</v>
      </c>
      <c r="J66" s="9" t="s">
        <v>13</v>
      </c>
      <c r="K66" s="9">
        <v>40</v>
      </c>
      <c r="L66" s="9" t="s">
        <v>29</v>
      </c>
    </row>
    <row r="67" spans="1:12" x14ac:dyDescent="0.35">
      <c r="A67">
        <v>100028</v>
      </c>
      <c r="B67" s="10">
        <v>46091</v>
      </c>
      <c r="C67" s="9">
        <v>3</v>
      </c>
      <c r="D67" s="9">
        <v>445500</v>
      </c>
      <c r="E67" t="s">
        <v>30</v>
      </c>
      <c r="F67" t="s">
        <v>12</v>
      </c>
      <c r="G67">
        <v>21000</v>
      </c>
      <c r="H67" t="s">
        <v>13</v>
      </c>
      <c r="I67" s="9">
        <v>21000</v>
      </c>
      <c r="J67" s="9" t="s">
        <v>13</v>
      </c>
      <c r="K67" s="9">
        <v>50</v>
      </c>
      <c r="L67" s="9" t="s">
        <v>31</v>
      </c>
    </row>
    <row r="68" spans="1:12" x14ac:dyDescent="0.35">
      <c r="A68">
        <v>100028</v>
      </c>
      <c r="B68" s="10">
        <v>46091</v>
      </c>
      <c r="C68" s="9">
        <v>3</v>
      </c>
      <c r="D68" s="9">
        <v>711100</v>
      </c>
      <c r="E68" t="s">
        <v>32</v>
      </c>
      <c r="F68" t="s">
        <v>33</v>
      </c>
      <c r="G68">
        <v>105000</v>
      </c>
      <c r="H68" t="s">
        <v>13</v>
      </c>
      <c r="I68" s="9">
        <v>105000</v>
      </c>
      <c r="J68" s="9" t="s">
        <v>13</v>
      </c>
      <c r="K68" s="9">
        <v>50</v>
      </c>
      <c r="L68" s="9" t="s">
        <v>34</v>
      </c>
    </row>
    <row r="69" spans="1:12" x14ac:dyDescent="0.35">
      <c r="A69">
        <v>100029</v>
      </c>
      <c r="B69" s="10">
        <v>46096</v>
      </c>
      <c r="C69" s="9">
        <v>3</v>
      </c>
      <c r="D69" s="9">
        <v>342100</v>
      </c>
      <c r="E69" t="s">
        <v>28</v>
      </c>
      <c r="F69" t="s">
        <v>12</v>
      </c>
      <c r="G69">
        <v>3900</v>
      </c>
      <c r="H69" t="s">
        <v>35</v>
      </c>
      <c r="I69" s="9">
        <v>39195</v>
      </c>
      <c r="J69" s="9" t="s">
        <v>13</v>
      </c>
      <c r="K69" s="9">
        <v>40</v>
      </c>
      <c r="L69" s="9" t="s">
        <v>36</v>
      </c>
    </row>
    <row r="70" spans="1:12" x14ac:dyDescent="0.35">
      <c r="A70">
        <v>100029</v>
      </c>
      <c r="B70" s="10">
        <v>46096</v>
      </c>
      <c r="C70" s="9">
        <v>3</v>
      </c>
      <c r="D70" s="9">
        <v>712100</v>
      </c>
      <c r="E70" t="s">
        <v>37</v>
      </c>
      <c r="F70" t="s">
        <v>33</v>
      </c>
      <c r="G70">
        <v>3900</v>
      </c>
      <c r="H70" t="s">
        <v>35</v>
      </c>
      <c r="I70" s="9">
        <v>39195</v>
      </c>
      <c r="J70" s="9" t="s">
        <v>13</v>
      </c>
      <c r="K70" s="9">
        <v>50</v>
      </c>
      <c r="L70" s="9" t="s">
        <v>38</v>
      </c>
    </row>
    <row r="71" spans="1:12" x14ac:dyDescent="0.35">
      <c r="A71">
        <v>100030</v>
      </c>
      <c r="B71" s="10">
        <v>46099</v>
      </c>
      <c r="C71" s="9">
        <v>3</v>
      </c>
      <c r="D71" s="9">
        <v>342100</v>
      </c>
      <c r="E71" t="s">
        <v>28</v>
      </c>
      <c r="F71" t="s">
        <v>12</v>
      </c>
      <c r="G71">
        <v>95000</v>
      </c>
      <c r="H71" t="s">
        <v>13</v>
      </c>
      <c r="I71" s="9">
        <v>95000</v>
      </c>
      <c r="J71" s="9" t="s">
        <v>13</v>
      </c>
      <c r="K71" s="9">
        <v>50</v>
      </c>
      <c r="L71" s="9" t="s">
        <v>39</v>
      </c>
    </row>
    <row r="72" spans="1:12" x14ac:dyDescent="0.35">
      <c r="A72">
        <v>100030</v>
      </c>
      <c r="B72" s="10">
        <v>46099</v>
      </c>
      <c r="C72" s="9">
        <v>3</v>
      </c>
      <c r="D72" s="9">
        <v>514100</v>
      </c>
      <c r="E72" t="s">
        <v>15</v>
      </c>
      <c r="F72" t="s">
        <v>12</v>
      </c>
      <c r="G72">
        <v>95000</v>
      </c>
      <c r="H72" t="s">
        <v>13</v>
      </c>
      <c r="I72" s="9">
        <v>95000</v>
      </c>
      <c r="J72" s="9" t="s">
        <v>13</v>
      </c>
      <c r="K72" s="9">
        <v>40</v>
      </c>
      <c r="L72" s="9" t="s">
        <v>40</v>
      </c>
    </row>
    <row r="73" spans="1:12" x14ac:dyDescent="0.35">
      <c r="A73">
        <v>100031</v>
      </c>
      <c r="B73" s="10">
        <v>46100</v>
      </c>
      <c r="C73" s="9">
        <v>3</v>
      </c>
      <c r="D73" s="9">
        <v>441100</v>
      </c>
      <c r="E73" t="s">
        <v>19</v>
      </c>
      <c r="F73" t="s">
        <v>12</v>
      </c>
      <c r="G73">
        <v>39000</v>
      </c>
      <c r="H73" t="s">
        <v>13</v>
      </c>
      <c r="I73" s="9">
        <v>39000</v>
      </c>
      <c r="J73" s="9" t="s">
        <v>13</v>
      </c>
      <c r="K73" s="9">
        <v>40</v>
      </c>
      <c r="L73" s="9" t="s">
        <v>41</v>
      </c>
    </row>
    <row r="74" spans="1:12" x14ac:dyDescent="0.35">
      <c r="A74">
        <v>100031</v>
      </c>
      <c r="B74" s="10">
        <v>46100</v>
      </c>
      <c r="C74" s="9">
        <v>3</v>
      </c>
      <c r="D74" s="9">
        <v>514100</v>
      </c>
      <c r="E74" t="s">
        <v>15</v>
      </c>
      <c r="F74" t="s">
        <v>12</v>
      </c>
      <c r="G74">
        <v>39000</v>
      </c>
      <c r="H74" t="s">
        <v>13</v>
      </c>
      <c r="I74" s="9">
        <v>39000</v>
      </c>
      <c r="J74" s="9" t="s">
        <v>13</v>
      </c>
      <c r="K74" s="9">
        <v>50</v>
      </c>
      <c r="L74" s="9" t="s">
        <v>42</v>
      </c>
    </row>
    <row r="75" spans="1:12" x14ac:dyDescent="0.35">
      <c r="A75">
        <v>100032</v>
      </c>
      <c r="B75" s="10">
        <v>46101</v>
      </c>
      <c r="C75" s="9">
        <v>3</v>
      </c>
      <c r="D75" s="9">
        <v>514100</v>
      </c>
      <c r="E75" t="s">
        <v>15</v>
      </c>
      <c r="F75" t="s">
        <v>12</v>
      </c>
      <c r="G75">
        <v>37200</v>
      </c>
      <c r="H75" t="s">
        <v>13</v>
      </c>
      <c r="I75" s="9">
        <v>37200</v>
      </c>
      <c r="J75" s="9" t="s">
        <v>13</v>
      </c>
      <c r="K75" s="9">
        <v>50</v>
      </c>
      <c r="L75" s="9" t="s">
        <v>43</v>
      </c>
    </row>
    <row r="76" spans="1:12" x14ac:dyDescent="0.35">
      <c r="A76">
        <v>100032</v>
      </c>
      <c r="B76" s="10">
        <v>46101</v>
      </c>
      <c r="C76" s="9">
        <v>3</v>
      </c>
      <c r="D76" s="9">
        <v>617100</v>
      </c>
      <c r="E76" t="s">
        <v>44</v>
      </c>
      <c r="F76" t="s">
        <v>45</v>
      </c>
      <c r="G76">
        <v>37200</v>
      </c>
      <c r="H76" t="s">
        <v>13</v>
      </c>
      <c r="I76" s="9">
        <v>37200</v>
      </c>
      <c r="J76" s="9" t="s">
        <v>13</v>
      </c>
      <c r="K76" s="9">
        <v>40</v>
      </c>
      <c r="L76" s="9" t="s">
        <v>46</v>
      </c>
    </row>
    <row r="77" spans="1:12" x14ac:dyDescent="0.35">
      <c r="A77">
        <v>100033</v>
      </c>
      <c r="B77" s="10">
        <v>46102</v>
      </c>
      <c r="C77" s="9">
        <v>3</v>
      </c>
      <c r="D77" s="9">
        <v>514100</v>
      </c>
      <c r="E77" t="s">
        <v>15</v>
      </c>
      <c r="F77" t="s">
        <v>12</v>
      </c>
      <c r="G77">
        <v>9800</v>
      </c>
      <c r="H77" t="s">
        <v>13</v>
      </c>
      <c r="I77" s="9">
        <v>9800</v>
      </c>
      <c r="J77" s="9" t="s">
        <v>13</v>
      </c>
      <c r="K77" s="9">
        <v>50</v>
      </c>
      <c r="L77" s="9" t="s">
        <v>47</v>
      </c>
    </row>
    <row r="78" spans="1:12" x14ac:dyDescent="0.35">
      <c r="A78">
        <v>100033</v>
      </c>
      <c r="B78" s="10">
        <v>46102</v>
      </c>
      <c r="C78" s="9">
        <v>3</v>
      </c>
      <c r="D78" s="9">
        <v>613100</v>
      </c>
      <c r="E78" t="s">
        <v>48</v>
      </c>
      <c r="F78" t="s">
        <v>45</v>
      </c>
      <c r="G78">
        <v>9800</v>
      </c>
      <c r="H78" t="s">
        <v>13</v>
      </c>
      <c r="I78" s="9">
        <v>9800</v>
      </c>
      <c r="J78" s="9" t="s">
        <v>13</v>
      </c>
      <c r="K78" s="9">
        <v>40</v>
      </c>
      <c r="L78" s="9" t="s">
        <v>49</v>
      </c>
    </row>
    <row r="79" spans="1:12" x14ac:dyDescent="0.35">
      <c r="A79">
        <v>100034</v>
      </c>
      <c r="B79" s="10">
        <v>46103</v>
      </c>
      <c r="C79" s="9">
        <v>3</v>
      </c>
      <c r="D79" s="9">
        <v>514100</v>
      </c>
      <c r="E79" t="s">
        <v>15</v>
      </c>
      <c r="F79" t="s">
        <v>12</v>
      </c>
      <c r="G79">
        <v>6800</v>
      </c>
      <c r="H79" t="s">
        <v>13</v>
      </c>
      <c r="I79" s="9">
        <v>6800</v>
      </c>
      <c r="J79" s="9" t="s">
        <v>13</v>
      </c>
      <c r="K79" s="9">
        <v>50</v>
      </c>
      <c r="L79" s="9" t="s">
        <v>50</v>
      </c>
    </row>
    <row r="80" spans="1:12" x14ac:dyDescent="0.35">
      <c r="A80">
        <v>100034</v>
      </c>
      <c r="B80" s="10">
        <v>46103</v>
      </c>
      <c r="C80" s="9">
        <v>3</v>
      </c>
      <c r="D80" s="9">
        <v>614100</v>
      </c>
      <c r="E80" t="s">
        <v>51</v>
      </c>
      <c r="F80" t="s">
        <v>22</v>
      </c>
      <c r="G80">
        <v>6800</v>
      </c>
      <c r="H80" t="s">
        <v>13</v>
      </c>
      <c r="I80" s="9">
        <v>6800</v>
      </c>
      <c r="J80" s="9" t="s">
        <v>13</v>
      </c>
      <c r="K80" s="9">
        <v>40</v>
      </c>
      <c r="L80" s="9" t="s">
        <v>52</v>
      </c>
    </row>
    <row r="81" spans="1:12" x14ac:dyDescent="0.35">
      <c r="A81">
        <v>100035</v>
      </c>
      <c r="B81" s="10">
        <v>46104</v>
      </c>
      <c r="C81" s="9">
        <v>3</v>
      </c>
      <c r="D81" s="9">
        <v>514100</v>
      </c>
      <c r="E81" t="s">
        <v>15</v>
      </c>
      <c r="F81" t="s">
        <v>12</v>
      </c>
      <c r="G81">
        <v>4800</v>
      </c>
      <c r="H81" t="s">
        <v>13</v>
      </c>
      <c r="I81" s="9">
        <v>4800</v>
      </c>
      <c r="J81" s="9" t="s">
        <v>13</v>
      </c>
      <c r="K81" s="9">
        <v>50</v>
      </c>
      <c r="L81" s="9" t="s">
        <v>53</v>
      </c>
    </row>
    <row r="82" spans="1:12" x14ac:dyDescent="0.35">
      <c r="A82">
        <v>100035</v>
      </c>
      <c r="B82" s="10">
        <v>46104</v>
      </c>
      <c r="C82" s="9">
        <v>3</v>
      </c>
      <c r="D82" s="9">
        <v>618100</v>
      </c>
      <c r="E82" t="s">
        <v>54</v>
      </c>
      <c r="F82" t="s">
        <v>55</v>
      </c>
      <c r="G82">
        <v>4800</v>
      </c>
      <c r="H82" t="s">
        <v>13</v>
      </c>
      <c r="I82" s="9">
        <v>4800</v>
      </c>
      <c r="J82" s="9" t="s">
        <v>13</v>
      </c>
      <c r="K82" s="9">
        <v>40</v>
      </c>
      <c r="L82" s="9" t="s">
        <v>56</v>
      </c>
    </row>
    <row r="83" spans="1:12" x14ac:dyDescent="0.35">
      <c r="A83">
        <v>100036</v>
      </c>
      <c r="B83" s="10">
        <v>46108</v>
      </c>
      <c r="C83" s="9">
        <v>3</v>
      </c>
      <c r="D83" s="9">
        <v>311100</v>
      </c>
      <c r="E83" t="s">
        <v>57</v>
      </c>
      <c r="F83" t="s">
        <v>12</v>
      </c>
      <c r="G83">
        <v>5000</v>
      </c>
      <c r="H83" t="s">
        <v>13</v>
      </c>
      <c r="I83" s="9">
        <v>5000</v>
      </c>
      <c r="J83" s="9" t="s">
        <v>13</v>
      </c>
      <c r="K83" s="9">
        <v>50</v>
      </c>
      <c r="L83" s="9" t="s">
        <v>59</v>
      </c>
    </row>
    <row r="84" spans="1:12" x14ac:dyDescent="0.35">
      <c r="A84">
        <v>100036</v>
      </c>
      <c r="B84" s="10">
        <v>46108</v>
      </c>
      <c r="C84" s="9">
        <v>3</v>
      </c>
      <c r="D84" s="9">
        <v>611100</v>
      </c>
      <c r="E84" t="s">
        <v>21</v>
      </c>
      <c r="F84" t="s">
        <v>22</v>
      </c>
      <c r="G84">
        <v>5000</v>
      </c>
      <c r="H84" t="s">
        <v>13</v>
      </c>
      <c r="I84" s="9">
        <v>5000</v>
      </c>
      <c r="J84" s="9" t="s">
        <v>13</v>
      </c>
      <c r="K84" s="9">
        <v>40</v>
      </c>
      <c r="L84" s="9" t="s">
        <v>63</v>
      </c>
    </row>
    <row r="85" spans="1:12" x14ac:dyDescent="0.35">
      <c r="A85">
        <v>100037</v>
      </c>
      <c r="B85" s="10">
        <v>46109</v>
      </c>
      <c r="C85" s="9">
        <v>3</v>
      </c>
      <c r="D85" s="9">
        <v>514100</v>
      </c>
      <c r="E85" t="s">
        <v>15</v>
      </c>
      <c r="F85" t="s">
        <v>12</v>
      </c>
      <c r="G85">
        <v>6800</v>
      </c>
      <c r="H85" t="s">
        <v>13</v>
      </c>
      <c r="I85" s="9">
        <v>6800</v>
      </c>
      <c r="J85" s="9" t="s">
        <v>13</v>
      </c>
      <c r="K85" s="9">
        <v>50</v>
      </c>
      <c r="L85" s="9" t="s">
        <v>60</v>
      </c>
    </row>
    <row r="86" spans="1:12" x14ac:dyDescent="0.35">
      <c r="A86">
        <v>100037</v>
      </c>
      <c r="B86" s="10">
        <v>46109</v>
      </c>
      <c r="C86" s="9">
        <v>3</v>
      </c>
      <c r="D86" s="9">
        <v>619100</v>
      </c>
      <c r="E86" t="s">
        <v>61</v>
      </c>
      <c r="F86" t="s">
        <v>55</v>
      </c>
      <c r="G86">
        <v>6800</v>
      </c>
      <c r="H86" t="s">
        <v>13</v>
      </c>
      <c r="I86" s="9">
        <v>6800</v>
      </c>
      <c r="J86" s="9" t="s">
        <v>13</v>
      </c>
      <c r="K86" s="9">
        <v>40</v>
      </c>
      <c r="L86" s="9" t="s">
        <v>62</v>
      </c>
    </row>
    <row r="87" spans="1:12" x14ac:dyDescent="0.35">
      <c r="A87">
        <v>100038</v>
      </c>
      <c r="B87" s="10">
        <v>46117</v>
      </c>
      <c r="C87" s="9">
        <v>4</v>
      </c>
      <c r="D87" s="9">
        <v>345500</v>
      </c>
      <c r="E87" t="s">
        <v>17</v>
      </c>
      <c r="F87" t="s">
        <v>12</v>
      </c>
      <c r="G87">
        <v>14700</v>
      </c>
      <c r="H87" t="s">
        <v>13</v>
      </c>
      <c r="I87" s="9">
        <v>14700</v>
      </c>
      <c r="J87" s="9" t="s">
        <v>13</v>
      </c>
      <c r="K87" s="9">
        <v>40</v>
      </c>
      <c r="L87" s="9" t="s">
        <v>18</v>
      </c>
    </row>
    <row r="88" spans="1:12" x14ac:dyDescent="0.35">
      <c r="A88">
        <v>100038</v>
      </c>
      <c r="B88" s="10">
        <v>46117</v>
      </c>
      <c r="C88" s="9">
        <v>4</v>
      </c>
      <c r="D88" s="9">
        <v>441100</v>
      </c>
      <c r="E88" t="s">
        <v>19</v>
      </c>
      <c r="F88" t="s">
        <v>12</v>
      </c>
      <c r="G88">
        <v>88200</v>
      </c>
      <c r="H88" t="s">
        <v>13</v>
      </c>
      <c r="I88" s="9">
        <v>88200</v>
      </c>
      <c r="J88" s="9" t="s">
        <v>13</v>
      </c>
      <c r="K88" s="9">
        <v>50</v>
      </c>
      <c r="L88" s="9" t="s">
        <v>20</v>
      </c>
    </row>
    <row r="89" spans="1:12" x14ac:dyDescent="0.35">
      <c r="A89">
        <v>100038</v>
      </c>
      <c r="B89" s="10">
        <v>46117</v>
      </c>
      <c r="C89" s="9">
        <v>4</v>
      </c>
      <c r="D89" s="9">
        <v>611100</v>
      </c>
      <c r="E89" t="s">
        <v>21</v>
      </c>
      <c r="F89" t="s">
        <v>22</v>
      </c>
      <c r="G89">
        <v>73500</v>
      </c>
      <c r="H89" t="s">
        <v>13</v>
      </c>
      <c r="I89" s="9">
        <v>73500</v>
      </c>
      <c r="J89" s="9" t="s">
        <v>13</v>
      </c>
      <c r="K89" s="9">
        <v>40</v>
      </c>
      <c r="L89" s="9" t="s">
        <v>23</v>
      </c>
    </row>
    <row r="90" spans="1:12" x14ac:dyDescent="0.35">
      <c r="A90">
        <v>100039</v>
      </c>
      <c r="B90" s="10">
        <v>46120</v>
      </c>
      <c r="C90" s="9">
        <v>4</v>
      </c>
      <c r="D90" s="9">
        <v>345500</v>
      </c>
      <c r="E90" t="s">
        <v>17</v>
      </c>
      <c r="F90" t="s">
        <v>12</v>
      </c>
      <c r="G90">
        <v>9936</v>
      </c>
      <c r="H90" t="s">
        <v>13</v>
      </c>
      <c r="I90" s="9">
        <v>9936</v>
      </c>
      <c r="J90" s="9" t="s">
        <v>13</v>
      </c>
      <c r="K90" s="9">
        <v>40</v>
      </c>
      <c r="L90" s="9" t="s">
        <v>24</v>
      </c>
    </row>
    <row r="91" spans="1:12" x14ac:dyDescent="0.35">
      <c r="A91">
        <v>100039</v>
      </c>
      <c r="B91" s="10">
        <v>46120</v>
      </c>
      <c r="C91" s="9">
        <v>4</v>
      </c>
      <c r="D91" s="9">
        <v>441100</v>
      </c>
      <c r="E91" t="s">
        <v>19</v>
      </c>
      <c r="F91" t="s">
        <v>12</v>
      </c>
      <c r="G91">
        <v>59616</v>
      </c>
      <c r="H91" t="s">
        <v>13</v>
      </c>
      <c r="I91" s="9">
        <v>59616</v>
      </c>
      <c r="J91" s="9" t="s">
        <v>13</v>
      </c>
      <c r="K91" s="9">
        <v>50</v>
      </c>
      <c r="L91" s="9" t="s">
        <v>25</v>
      </c>
    </row>
    <row r="92" spans="1:12" x14ac:dyDescent="0.35">
      <c r="A92">
        <v>100039</v>
      </c>
      <c r="B92" s="10">
        <v>46120</v>
      </c>
      <c r="C92" s="9">
        <v>4</v>
      </c>
      <c r="D92" s="9">
        <v>611100</v>
      </c>
      <c r="E92" t="s">
        <v>21</v>
      </c>
      <c r="F92" t="s">
        <v>22</v>
      </c>
      <c r="G92">
        <v>4600</v>
      </c>
      <c r="H92" t="s">
        <v>26</v>
      </c>
      <c r="I92" s="9">
        <v>49680</v>
      </c>
      <c r="J92" s="9" t="s">
        <v>13</v>
      </c>
      <c r="K92" s="9">
        <v>40</v>
      </c>
      <c r="L92" s="9" t="s">
        <v>27</v>
      </c>
    </row>
    <row r="93" spans="1:12" x14ac:dyDescent="0.35">
      <c r="A93">
        <v>100040</v>
      </c>
      <c r="B93" s="10">
        <v>46122</v>
      </c>
      <c r="C93" s="9">
        <v>4</v>
      </c>
      <c r="D93" s="9">
        <v>342100</v>
      </c>
      <c r="E93" t="s">
        <v>28</v>
      </c>
      <c r="F93" t="s">
        <v>12</v>
      </c>
      <c r="G93">
        <v>117600</v>
      </c>
      <c r="H93" t="s">
        <v>13</v>
      </c>
      <c r="I93" s="9">
        <v>117600</v>
      </c>
      <c r="J93" s="9" t="s">
        <v>13</v>
      </c>
      <c r="K93" s="9">
        <v>40</v>
      </c>
      <c r="L93" s="9" t="s">
        <v>29</v>
      </c>
    </row>
    <row r="94" spans="1:12" x14ac:dyDescent="0.35">
      <c r="A94">
        <v>100040</v>
      </c>
      <c r="B94" s="10">
        <v>46122</v>
      </c>
      <c r="C94" s="9">
        <v>4</v>
      </c>
      <c r="D94" s="9">
        <v>445500</v>
      </c>
      <c r="E94" t="s">
        <v>30</v>
      </c>
      <c r="F94" t="s">
        <v>12</v>
      </c>
      <c r="G94">
        <v>19600</v>
      </c>
      <c r="H94" t="s">
        <v>13</v>
      </c>
      <c r="I94" s="9">
        <v>19600</v>
      </c>
      <c r="J94" s="9" t="s">
        <v>13</v>
      </c>
      <c r="K94" s="9">
        <v>50</v>
      </c>
      <c r="L94" s="9" t="s">
        <v>31</v>
      </c>
    </row>
    <row r="95" spans="1:12" x14ac:dyDescent="0.35">
      <c r="A95">
        <v>100040</v>
      </c>
      <c r="B95" s="10">
        <v>46122</v>
      </c>
      <c r="C95" s="9">
        <v>4</v>
      </c>
      <c r="D95" s="9">
        <v>711100</v>
      </c>
      <c r="E95" t="s">
        <v>32</v>
      </c>
      <c r="F95" t="s">
        <v>33</v>
      </c>
      <c r="G95">
        <v>98000</v>
      </c>
      <c r="H95" t="s">
        <v>13</v>
      </c>
      <c r="I95" s="9">
        <v>98000</v>
      </c>
      <c r="J95" s="9" t="s">
        <v>13</v>
      </c>
      <c r="K95" s="9">
        <v>50</v>
      </c>
      <c r="L95" s="9" t="s">
        <v>34</v>
      </c>
    </row>
    <row r="96" spans="1:12" x14ac:dyDescent="0.35">
      <c r="A96">
        <v>100041</v>
      </c>
      <c r="B96" s="10">
        <v>46127</v>
      </c>
      <c r="C96" s="9">
        <v>4</v>
      </c>
      <c r="D96" s="9">
        <v>342100</v>
      </c>
      <c r="E96" t="s">
        <v>28</v>
      </c>
      <c r="F96" t="s">
        <v>12</v>
      </c>
      <c r="G96">
        <v>5600</v>
      </c>
      <c r="H96" t="s">
        <v>35</v>
      </c>
      <c r="I96" s="9">
        <v>55496</v>
      </c>
      <c r="J96" s="9" t="s">
        <v>13</v>
      </c>
      <c r="K96" s="9">
        <v>40</v>
      </c>
      <c r="L96" s="9" t="s">
        <v>36</v>
      </c>
    </row>
    <row r="97" spans="1:12" x14ac:dyDescent="0.35">
      <c r="A97">
        <v>100041</v>
      </c>
      <c r="B97" s="10">
        <v>46127</v>
      </c>
      <c r="C97" s="9">
        <v>4</v>
      </c>
      <c r="D97" s="9">
        <v>712100</v>
      </c>
      <c r="E97" t="s">
        <v>37</v>
      </c>
      <c r="F97" t="s">
        <v>33</v>
      </c>
      <c r="G97">
        <v>5600</v>
      </c>
      <c r="H97" t="s">
        <v>35</v>
      </c>
      <c r="I97" s="9">
        <v>55496</v>
      </c>
      <c r="J97" s="9" t="s">
        <v>13</v>
      </c>
      <c r="K97" s="9">
        <v>50</v>
      </c>
      <c r="L97" s="9" t="s">
        <v>38</v>
      </c>
    </row>
    <row r="98" spans="1:12" x14ac:dyDescent="0.35">
      <c r="A98">
        <v>100042</v>
      </c>
      <c r="B98" s="10">
        <v>46130</v>
      </c>
      <c r="C98" s="9">
        <v>4</v>
      </c>
      <c r="D98" s="9">
        <v>342100</v>
      </c>
      <c r="E98" t="s">
        <v>28</v>
      </c>
      <c r="F98" t="s">
        <v>12</v>
      </c>
      <c r="G98">
        <v>88000</v>
      </c>
      <c r="H98" t="s">
        <v>13</v>
      </c>
      <c r="I98" s="9">
        <v>88000</v>
      </c>
      <c r="J98" s="9" t="s">
        <v>13</v>
      </c>
      <c r="K98" s="9">
        <v>50</v>
      </c>
      <c r="L98" s="9" t="s">
        <v>39</v>
      </c>
    </row>
    <row r="99" spans="1:12" x14ac:dyDescent="0.35">
      <c r="A99">
        <v>100042</v>
      </c>
      <c r="B99" s="10">
        <v>46130</v>
      </c>
      <c r="C99" s="9">
        <v>4</v>
      </c>
      <c r="D99" s="9">
        <v>514100</v>
      </c>
      <c r="E99" t="s">
        <v>15</v>
      </c>
      <c r="F99" t="s">
        <v>12</v>
      </c>
      <c r="G99">
        <v>88000</v>
      </c>
      <c r="H99" t="s">
        <v>13</v>
      </c>
      <c r="I99" s="9">
        <v>88000</v>
      </c>
      <c r="J99" s="9" t="s">
        <v>13</v>
      </c>
      <c r="K99" s="9">
        <v>40</v>
      </c>
      <c r="L99" s="9" t="s">
        <v>40</v>
      </c>
    </row>
    <row r="100" spans="1:12" x14ac:dyDescent="0.35">
      <c r="A100">
        <v>100043</v>
      </c>
      <c r="B100" s="10">
        <v>46131</v>
      </c>
      <c r="C100" s="9">
        <v>4</v>
      </c>
      <c r="D100" s="9">
        <v>441100</v>
      </c>
      <c r="E100" t="s">
        <v>19</v>
      </c>
      <c r="F100" t="s">
        <v>12</v>
      </c>
      <c r="G100">
        <v>61000</v>
      </c>
      <c r="H100" t="s">
        <v>13</v>
      </c>
      <c r="I100" s="9">
        <v>61000</v>
      </c>
      <c r="J100" s="9" t="s">
        <v>13</v>
      </c>
      <c r="K100" s="9">
        <v>40</v>
      </c>
      <c r="L100" s="9" t="s">
        <v>41</v>
      </c>
    </row>
    <row r="101" spans="1:12" x14ac:dyDescent="0.35">
      <c r="A101">
        <v>100043</v>
      </c>
      <c r="B101" s="10">
        <v>46131</v>
      </c>
      <c r="C101" s="9">
        <v>4</v>
      </c>
      <c r="D101" s="9">
        <v>514100</v>
      </c>
      <c r="E101" t="s">
        <v>15</v>
      </c>
      <c r="F101" t="s">
        <v>12</v>
      </c>
      <c r="G101">
        <v>61000</v>
      </c>
      <c r="H101" t="s">
        <v>13</v>
      </c>
      <c r="I101" s="9">
        <v>61000</v>
      </c>
      <c r="J101" s="9" t="s">
        <v>13</v>
      </c>
      <c r="K101" s="9">
        <v>50</v>
      </c>
      <c r="L101" s="9" t="s">
        <v>42</v>
      </c>
    </row>
    <row r="102" spans="1:12" x14ac:dyDescent="0.35">
      <c r="A102">
        <v>100044</v>
      </c>
      <c r="B102" s="10">
        <v>46132</v>
      </c>
      <c r="C102" s="9">
        <v>4</v>
      </c>
      <c r="D102" s="9">
        <v>514100</v>
      </c>
      <c r="E102" t="s">
        <v>15</v>
      </c>
      <c r="F102" t="s">
        <v>12</v>
      </c>
      <c r="G102">
        <v>38000</v>
      </c>
      <c r="H102" t="s">
        <v>13</v>
      </c>
      <c r="I102" s="9">
        <v>38000</v>
      </c>
      <c r="J102" s="9" t="s">
        <v>13</v>
      </c>
      <c r="K102" s="9">
        <v>50</v>
      </c>
      <c r="L102" s="9" t="s">
        <v>43</v>
      </c>
    </row>
    <row r="103" spans="1:12" x14ac:dyDescent="0.35">
      <c r="A103">
        <v>100044</v>
      </c>
      <c r="B103" s="10">
        <v>46132</v>
      </c>
      <c r="C103" s="9">
        <v>4</v>
      </c>
      <c r="D103" s="9">
        <v>617100</v>
      </c>
      <c r="E103" t="s">
        <v>44</v>
      </c>
      <c r="F103" t="s">
        <v>45</v>
      </c>
      <c r="G103">
        <v>38000</v>
      </c>
      <c r="H103" t="s">
        <v>13</v>
      </c>
      <c r="I103" s="9">
        <v>38000</v>
      </c>
      <c r="J103" s="9" t="s">
        <v>13</v>
      </c>
      <c r="K103" s="9">
        <v>40</v>
      </c>
      <c r="L103" s="9" t="s">
        <v>46</v>
      </c>
    </row>
    <row r="104" spans="1:12" x14ac:dyDescent="0.35">
      <c r="A104">
        <v>100045</v>
      </c>
      <c r="B104" s="10">
        <v>46133</v>
      </c>
      <c r="C104" s="9">
        <v>4</v>
      </c>
      <c r="D104" s="9">
        <v>514100</v>
      </c>
      <c r="E104" t="s">
        <v>15</v>
      </c>
      <c r="F104" t="s">
        <v>12</v>
      </c>
      <c r="G104">
        <v>9800</v>
      </c>
      <c r="H104" t="s">
        <v>13</v>
      </c>
      <c r="I104" s="9">
        <v>9800</v>
      </c>
      <c r="J104" s="9" t="s">
        <v>13</v>
      </c>
      <c r="K104" s="9">
        <v>50</v>
      </c>
      <c r="L104" s="9" t="s">
        <v>47</v>
      </c>
    </row>
    <row r="105" spans="1:12" x14ac:dyDescent="0.35">
      <c r="A105">
        <v>100045</v>
      </c>
      <c r="B105" s="10">
        <v>46133</v>
      </c>
      <c r="C105" s="9">
        <v>4</v>
      </c>
      <c r="D105" s="9">
        <v>613100</v>
      </c>
      <c r="E105" t="s">
        <v>48</v>
      </c>
      <c r="F105" t="s">
        <v>45</v>
      </c>
      <c r="G105">
        <v>9800</v>
      </c>
      <c r="H105" t="s">
        <v>13</v>
      </c>
      <c r="I105" s="9">
        <v>9800</v>
      </c>
      <c r="J105" s="9" t="s">
        <v>13</v>
      </c>
      <c r="K105" s="9">
        <v>40</v>
      </c>
      <c r="L105" s="9" t="s">
        <v>49</v>
      </c>
    </row>
    <row r="106" spans="1:12" x14ac:dyDescent="0.35">
      <c r="A106">
        <v>100046</v>
      </c>
      <c r="B106" s="10">
        <v>46134</v>
      </c>
      <c r="C106" s="9">
        <v>4</v>
      </c>
      <c r="D106" s="9">
        <v>514100</v>
      </c>
      <c r="E106" t="s">
        <v>15</v>
      </c>
      <c r="F106" t="s">
        <v>12</v>
      </c>
      <c r="G106">
        <v>7500</v>
      </c>
      <c r="H106" t="s">
        <v>13</v>
      </c>
      <c r="I106" s="9">
        <v>7500</v>
      </c>
      <c r="J106" s="9" t="s">
        <v>13</v>
      </c>
      <c r="K106" s="9">
        <v>50</v>
      </c>
      <c r="L106" s="9" t="s">
        <v>50</v>
      </c>
    </row>
    <row r="107" spans="1:12" x14ac:dyDescent="0.35">
      <c r="A107">
        <v>100046</v>
      </c>
      <c r="B107" s="10">
        <v>46134</v>
      </c>
      <c r="C107" s="9">
        <v>4</v>
      </c>
      <c r="D107" s="9">
        <v>614100</v>
      </c>
      <c r="E107" t="s">
        <v>51</v>
      </c>
      <c r="F107" t="s">
        <v>22</v>
      </c>
      <c r="G107">
        <v>7500</v>
      </c>
      <c r="H107" t="s">
        <v>13</v>
      </c>
      <c r="I107" s="9">
        <v>7500</v>
      </c>
      <c r="J107" s="9" t="s">
        <v>13</v>
      </c>
      <c r="K107" s="9">
        <v>40</v>
      </c>
      <c r="L107" s="9" t="s">
        <v>52</v>
      </c>
    </row>
    <row r="108" spans="1:12" x14ac:dyDescent="0.35">
      <c r="A108">
        <v>100047</v>
      </c>
      <c r="B108" s="10">
        <v>46135</v>
      </c>
      <c r="C108" s="9">
        <v>4</v>
      </c>
      <c r="D108" s="9">
        <v>514100</v>
      </c>
      <c r="E108" t="s">
        <v>15</v>
      </c>
      <c r="F108" t="s">
        <v>12</v>
      </c>
      <c r="G108">
        <v>6000</v>
      </c>
      <c r="H108" t="s">
        <v>13</v>
      </c>
      <c r="I108" s="9">
        <v>6000</v>
      </c>
      <c r="J108" s="9" t="s">
        <v>13</v>
      </c>
      <c r="K108" s="9">
        <v>50</v>
      </c>
      <c r="L108" s="9" t="s">
        <v>53</v>
      </c>
    </row>
    <row r="109" spans="1:12" x14ac:dyDescent="0.35">
      <c r="A109">
        <v>100047</v>
      </c>
      <c r="B109" s="10">
        <v>46135</v>
      </c>
      <c r="C109" s="9">
        <v>4</v>
      </c>
      <c r="D109" s="9">
        <v>618100</v>
      </c>
      <c r="E109" t="s">
        <v>54</v>
      </c>
      <c r="F109" t="s">
        <v>55</v>
      </c>
      <c r="G109">
        <v>6000</v>
      </c>
      <c r="H109" t="s">
        <v>13</v>
      </c>
      <c r="I109" s="9">
        <v>6000</v>
      </c>
      <c r="J109" s="9" t="s">
        <v>13</v>
      </c>
      <c r="K109" s="9">
        <v>40</v>
      </c>
      <c r="L109" s="9" t="s">
        <v>56</v>
      </c>
    </row>
    <row r="110" spans="1:12" x14ac:dyDescent="0.35">
      <c r="A110">
        <v>100048</v>
      </c>
      <c r="B110" s="10">
        <v>46139</v>
      </c>
      <c r="C110" s="9">
        <v>4</v>
      </c>
      <c r="D110" s="9">
        <v>311100</v>
      </c>
      <c r="E110" t="s">
        <v>57</v>
      </c>
      <c r="F110" t="s">
        <v>12</v>
      </c>
      <c r="G110">
        <v>12000</v>
      </c>
      <c r="H110" t="s">
        <v>13</v>
      </c>
      <c r="I110" s="9">
        <v>12000</v>
      </c>
      <c r="J110" s="9" t="s">
        <v>13</v>
      </c>
      <c r="K110" s="9">
        <v>40</v>
      </c>
      <c r="L110" s="9" t="s">
        <v>58</v>
      </c>
    </row>
    <row r="111" spans="1:12" x14ac:dyDescent="0.35">
      <c r="A111">
        <v>100048</v>
      </c>
      <c r="B111" s="10">
        <v>46139</v>
      </c>
      <c r="C111" s="9">
        <v>4</v>
      </c>
      <c r="D111" s="9">
        <v>611100</v>
      </c>
      <c r="E111" t="s">
        <v>21</v>
      </c>
      <c r="F111" t="s">
        <v>22</v>
      </c>
      <c r="G111">
        <v>12000</v>
      </c>
      <c r="H111" t="s">
        <v>13</v>
      </c>
      <c r="I111" s="9">
        <v>12000</v>
      </c>
      <c r="J111" s="9" t="s">
        <v>13</v>
      </c>
      <c r="K111" s="9">
        <v>50</v>
      </c>
      <c r="L111" s="9" t="s">
        <v>59</v>
      </c>
    </row>
    <row r="112" spans="1:12" x14ac:dyDescent="0.35">
      <c r="A112">
        <v>100049</v>
      </c>
      <c r="B112" s="10">
        <v>46140</v>
      </c>
      <c r="C112" s="9">
        <v>4</v>
      </c>
      <c r="D112" s="9">
        <v>514100</v>
      </c>
      <c r="E112" t="s">
        <v>15</v>
      </c>
      <c r="F112" t="s">
        <v>12</v>
      </c>
      <c r="G112">
        <v>6800</v>
      </c>
      <c r="H112" t="s">
        <v>13</v>
      </c>
      <c r="I112" s="9">
        <v>6800</v>
      </c>
      <c r="J112" s="9" t="s">
        <v>13</v>
      </c>
      <c r="K112" s="9">
        <v>50</v>
      </c>
      <c r="L112" s="9" t="s">
        <v>60</v>
      </c>
    </row>
    <row r="113" spans="1:12" x14ac:dyDescent="0.35">
      <c r="A113">
        <v>100049</v>
      </c>
      <c r="B113" s="10">
        <v>46140</v>
      </c>
      <c r="C113" s="9">
        <v>4</v>
      </c>
      <c r="D113" s="9">
        <v>619100</v>
      </c>
      <c r="E113" t="s">
        <v>61</v>
      </c>
      <c r="F113" t="s">
        <v>55</v>
      </c>
      <c r="G113">
        <v>6800</v>
      </c>
      <c r="H113" t="s">
        <v>13</v>
      </c>
      <c r="I113" s="9">
        <v>6800</v>
      </c>
      <c r="J113" s="9" t="s">
        <v>13</v>
      </c>
      <c r="K113" s="9">
        <v>40</v>
      </c>
      <c r="L113" s="9" t="s">
        <v>62</v>
      </c>
    </row>
    <row r="114" spans="1:12" x14ac:dyDescent="0.35">
      <c r="A114">
        <v>100050</v>
      </c>
      <c r="B114" s="10">
        <v>46147</v>
      </c>
      <c r="C114" s="9">
        <v>5</v>
      </c>
      <c r="D114" s="9">
        <v>345500</v>
      </c>
      <c r="E114" t="s">
        <v>17</v>
      </c>
      <c r="F114" t="s">
        <v>12</v>
      </c>
      <c r="G114">
        <v>12200</v>
      </c>
      <c r="H114" t="s">
        <v>13</v>
      </c>
      <c r="I114" s="9">
        <v>12200</v>
      </c>
      <c r="J114" s="9" t="s">
        <v>13</v>
      </c>
      <c r="K114" s="9">
        <v>40</v>
      </c>
      <c r="L114" s="9" t="s">
        <v>18</v>
      </c>
    </row>
    <row r="115" spans="1:12" x14ac:dyDescent="0.35">
      <c r="A115">
        <v>100050</v>
      </c>
      <c r="B115" s="10">
        <v>46147</v>
      </c>
      <c r="C115" s="9">
        <v>5</v>
      </c>
      <c r="D115" s="9">
        <v>441100</v>
      </c>
      <c r="E115" t="s">
        <v>19</v>
      </c>
      <c r="F115" t="s">
        <v>12</v>
      </c>
      <c r="G115">
        <v>73200</v>
      </c>
      <c r="H115" t="s">
        <v>13</v>
      </c>
      <c r="I115" s="9">
        <v>73200</v>
      </c>
      <c r="J115" s="9" t="s">
        <v>13</v>
      </c>
      <c r="K115" s="9">
        <v>50</v>
      </c>
      <c r="L115" s="9" t="s">
        <v>20</v>
      </c>
    </row>
    <row r="116" spans="1:12" x14ac:dyDescent="0.35">
      <c r="A116">
        <v>100050</v>
      </c>
      <c r="B116" s="10">
        <v>46147</v>
      </c>
      <c r="C116" s="9">
        <v>5</v>
      </c>
      <c r="D116" s="9">
        <v>611100</v>
      </c>
      <c r="E116" t="s">
        <v>21</v>
      </c>
      <c r="F116" t="s">
        <v>22</v>
      </c>
      <c r="G116">
        <v>61000</v>
      </c>
      <c r="H116" t="s">
        <v>13</v>
      </c>
      <c r="I116" s="9">
        <v>61000</v>
      </c>
      <c r="J116" s="9" t="s">
        <v>13</v>
      </c>
      <c r="K116" s="9">
        <v>40</v>
      </c>
      <c r="L116" s="9" t="s">
        <v>23</v>
      </c>
    </row>
    <row r="117" spans="1:12" x14ac:dyDescent="0.35">
      <c r="A117">
        <v>100051</v>
      </c>
      <c r="B117" s="10">
        <v>46150</v>
      </c>
      <c r="C117" s="9">
        <v>5</v>
      </c>
      <c r="D117" s="9">
        <v>345500</v>
      </c>
      <c r="E117" t="s">
        <v>17</v>
      </c>
      <c r="F117" t="s">
        <v>12</v>
      </c>
      <c r="G117">
        <v>7665</v>
      </c>
      <c r="H117" t="s">
        <v>13</v>
      </c>
      <c r="I117" s="9">
        <v>7665</v>
      </c>
      <c r="J117" s="9" t="s">
        <v>13</v>
      </c>
      <c r="K117" s="9">
        <v>40</v>
      </c>
      <c r="L117" s="9" t="s">
        <v>24</v>
      </c>
    </row>
    <row r="118" spans="1:12" x14ac:dyDescent="0.35">
      <c r="A118">
        <v>100051</v>
      </c>
      <c r="B118" s="10">
        <v>46150</v>
      </c>
      <c r="C118" s="9">
        <v>5</v>
      </c>
      <c r="D118" s="9">
        <v>441100</v>
      </c>
      <c r="E118" t="s">
        <v>19</v>
      </c>
      <c r="F118" t="s">
        <v>12</v>
      </c>
      <c r="G118">
        <v>45990</v>
      </c>
      <c r="H118" t="s">
        <v>13</v>
      </c>
      <c r="I118" s="9">
        <v>45990</v>
      </c>
      <c r="J118" s="9" t="s">
        <v>13</v>
      </c>
      <c r="K118" s="9">
        <v>50</v>
      </c>
      <c r="L118" s="9" t="s">
        <v>25</v>
      </c>
    </row>
    <row r="119" spans="1:12" x14ac:dyDescent="0.35">
      <c r="A119">
        <v>100051</v>
      </c>
      <c r="B119" s="10">
        <v>46150</v>
      </c>
      <c r="C119" s="9">
        <v>5</v>
      </c>
      <c r="D119" s="9">
        <v>611100</v>
      </c>
      <c r="E119" t="s">
        <v>21</v>
      </c>
      <c r="F119" t="s">
        <v>22</v>
      </c>
      <c r="G119">
        <v>3500</v>
      </c>
      <c r="H119" t="s">
        <v>26</v>
      </c>
      <c r="I119" s="9">
        <v>38325</v>
      </c>
      <c r="J119" s="9" t="s">
        <v>13</v>
      </c>
      <c r="K119" s="9">
        <v>40</v>
      </c>
      <c r="L119" s="9" t="s">
        <v>27</v>
      </c>
    </row>
    <row r="120" spans="1:12" x14ac:dyDescent="0.35">
      <c r="A120">
        <v>100052</v>
      </c>
      <c r="B120" s="10">
        <v>46152</v>
      </c>
      <c r="C120" s="9">
        <v>5</v>
      </c>
      <c r="D120" s="9">
        <v>342100</v>
      </c>
      <c r="E120" t="s">
        <v>28</v>
      </c>
      <c r="F120" t="s">
        <v>12</v>
      </c>
      <c r="G120">
        <v>141600</v>
      </c>
      <c r="H120" t="s">
        <v>13</v>
      </c>
      <c r="I120" s="9">
        <v>141600</v>
      </c>
      <c r="J120" s="9" t="s">
        <v>13</v>
      </c>
      <c r="K120" s="9">
        <v>40</v>
      </c>
      <c r="L120" s="9" t="s">
        <v>29</v>
      </c>
    </row>
    <row r="121" spans="1:12" x14ac:dyDescent="0.35">
      <c r="A121">
        <v>100052</v>
      </c>
      <c r="B121" s="10">
        <v>46152</v>
      </c>
      <c r="C121" s="9">
        <v>5</v>
      </c>
      <c r="D121" s="9">
        <v>445500</v>
      </c>
      <c r="E121" t="s">
        <v>30</v>
      </c>
      <c r="F121" t="s">
        <v>12</v>
      </c>
      <c r="G121">
        <v>23600</v>
      </c>
      <c r="H121" t="s">
        <v>13</v>
      </c>
      <c r="I121" s="9">
        <v>23600</v>
      </c>
      <c r="J121" s="9" t="s">
        <v>13</v>
      </c>
      <c r="K121" s="9">
        <v>50</v>
      </c>
      <c r="L121" s="9" t="s">
        <v>31</v>
      </c>
    </row>
    <row r="122" spans="1:12" x14ac:dyDescent="0.35">
      <c r="A122">
        <v>100052</v>
      </c>
      <c r="B122" s="10">
        <v>46152</v>
      </c>
      <c r="C122" s="9">
        <v>5</v>
      </c>
      <c r="D122" s="9">
        <v>711100</v>
      </c>
      <c r="E122" t="s">
        <v>32</v>
      </c>
      <c r="F122" t="s">
        <v>33</v>
      </c>
      <c r="G122">
        <v>118000</v>
      </c>
      <c r="H122" t="s">
        <v>13</v>
      </c>
      <c r="I122" s="9">
        <v>118000</v>
      </c>
      <c r="J122" s="9" t="s">
        <v>13</v>
      </c>
      <c r="K122" s="9">
        <v>50</v>
      </c>
      <c r="L122" s="9" t="s">
        <v>34</v>
      </c>
    </row>
    <row r="123" spans="1:12" x14ac:dyDescent="0.35">
      <c r="A123">
        <v>100053</v>
      </c>
      <c r="B123" s="10">
        <v>46157</v>
      </c>
      <c r="C123" s="9">
        <v>5</v>
      </c>
      <c r="D123" s="9">
        <v>342100</v>
      </c>
      <c r="E123" t="s">
        <v>28</v>
      </c>
      <c r="F123" t="s">
        <v>12</v>
      </c>
      <c r="G123">
        <v>4700</v>
      </c>
      <c r="H123" t="s">
        <v>35</v>
      </c>
      <c r="I123" s="9">
        <v>45872</v>
      </c>
      <c r="J123" s="9" t="s">
        <v>13</v>
      </c>
      <c r="K123" s="9">
        <v>40</v>
      </c>
      <c r="L123" s="9" t="s">
        <v>36</v>
      </c>
    </row>
    <row r="124" spans="1:12" x14ac:dyDescent="0.35">
      <c r="A124">
        <v>100053</v>
      </c>
      <c r="B124" s="10">
        <v>46157</v>
      </c>
      <c r="C124" s="9">
        <v>5</v>
      </c>
      <c r="D124" s="9">
        <v>712100</v>
      </c>
      <c r="E124" t="s">
        <v>37</v>
      </c>
      <c r="F124" t="s">
        <v>33</v>
      </c>
      <c r="G124">
        <v>4700</v>
      </c>
      <c r="H124" t="s">
        <v>35</v>
      </c>
      <c r="I124" s="9">
        <v>45872</v>
      </c>
      <c r="J124" s="9" t="s">
        <v>13</v>
      </c>
      <c r="K124" s="9">
        <v>50</v>
      </c>
      <c r="L124" s="9" t="s">
        <v>38</v>
      </c>
    </row>
    <row r="125" spans="1:12" x14ac:dyDescent="0.35">
      <c r="A125">
        <v>100054</v>
      </c>
      <c r="B125" s="10">
        <v>46160</v>
      </c>
      <c r="C125" s="9">
        <v>5</v>
      </c>
      <c r="D125" s="9">
        <v>342100</v>
      </c>
      <c r="E125" t="s">
        <v>28</v>
      </c>
      <c r="F125" t="s">
        <v>12</v>
      </c>
      <c r="G125">
        <v>102000</v>
      </c>
      <c r="H125" t="s">
        <v>13</v>
      </c>
      <c r="I125" s="9">
        <v>102000</v>
      </c>
      <c r="J125" s="9" t="s">
        <v>13</v>
      </c>
      <c r="K125" s="9">
        <v>50</v>
      </c>
      <c r="L125" s="9" t="s">
        <v>39</v>
      </c>
    </row>
    <row r="126" spans="1:12" x14ac:dyDescent="0.35">
      <c r="A126">
        <v>100054</v>
      </c>
      <c r="B126" s="10">
        <v>46160</v>
      </c>
      <c r="C126" s="9">
        <v>5</v>
      </c>
      <c r="D126" s="9">
        <v>514100</v>
      </c>
      <c r="E126" t="s">
        <v>15</v>
      </c>
      <c r="F126" t="s">
        <v>12</v>
      </c>
      <c r="G126">
        <v>102000</v>
      </c>
      <c r="H126" t="s">
        <v>13</v>
      </c>
      <c r="I126" s="9">
        <v>102000</v>
      </c>
      <c r="J126" s="9" t="s">
        <v>13</v>
      </c>
      <c r="K126" s="9">
        <v>40</v>
      </c>
      <c r="L126" s="9" t="s">
        <v>40</v>
      </c>
    </row>
    <row r="127" spans="1:12" x14ac:dyDescent="0.35">
      <c r="A127">
        <v>100055</v>
      </c>
      <c r="B127" s="10">
        <v>46161</v>
      </c>
      <c r="C127" s="9">
        <v>5</v>
      </c>
      <c r="D127" s="9">
        <v>441100</v>
      </c>
      <c r="E127" t="s">
        <v>19</v>
      </c>
      <c r="F127" t="s">
        <v>12</v>
      </c>
      <c r="G127">
        <v>50000</v>
      </c>
      <c r="H127" t="s">
        <v>13</v>
      </c>
      <c r="I127" s="9">
        <v>50000</v>
      </c>
      <c r="J127" s="9" t="s">
        <v>13</v>
      </c>
      <c r="K127" s="9">
        <v>40</v>
      </c>
      <c r="L127" s="9" t="s">
        <v>41</v>
      </c>
    </row>
    <row r="128" spans="1:12" x14ac:dyDescent="0.35">
      <c r="A128">
        <v>100055</v>
      </c>
      <c r="B128" s="10">
        <v>46161</v>
      </c>
      <c r="C128" s="9">
        <v>5</v>
      </c>
      <c r="D128" s="9">
        <v>514100</v>
      </c>
      <c r="E128" t="s">
        <v>15</v>
      </c>
      <c r="F128" t="s">
        <v>12</v>
      </c>
      <c r="G128">
        <v>50000</v>
      </c>
      <c r="H128" t="s">
        <v>13</v>
      </c>
      <c r="I128" s="9">
        <v>50000</v>
      </c>
      <c r="J128" s="9" t="s">
        <v>13</v>
      </c>
      <c r="K128" s="9">
        <v>50</v>
      </c>
      <c r="L128" s="9" t="s">
        <v>42</v>
      </c>
    </row>
    <row r="129" spans="1:12" x14ac:dyDescent="0.35">
      <c r="A129">
        <v>100056</v>
      </c>
      <c r="B129" s="10">
        <v>46162</v>
      </c>
      <c r="C129" s="9">
        <v>5</v>
      </c>
      <c r="D129" s="9">
        <v>514100</v>
      </c>
      <c r="E129" t="s">
        <v>15</v>
      </c>
      <c r="F129" t="s">
        <v>12</v>
      </c>
      <c r="G129">
        <v>38500</v>
      </c>
      <c r="H129" t="s">
        <v>13</v>
      </c>
      <c r="I129" s="9">
        <v>38500</v>
      </c>
      <c r="J129" s="9" t="s">
        <v>13</v>
      </c>
      <c r="K129" s="9">
        <v>50</v>
      </c>
      <c r="L129" s="9" t="s">
        <v>43</v>
      </c>
    </row>
    <row r="130" spans="1:12" x14ac:dyDescent="0.35">
      <c r="A130">
        <v>100056</v>
      </c>
      <c r="B130" s="10">
        <v>46162</v>
      </c>
      <c r="C130" s="9">
        <v>5</v>
      </c>
      <c r="D130" s="9">
        <v>617100</v>
      </c>
      <c r="E130" t="s">
        <v>44</v>
      </c>
      <c r="F130" t="s">
        <v>45</v>
      </c>
      <c r="G130">
        <v>38500</v>
      </c>
      <c r="H130" t="s">
        <v>13</v>
      </c>
      <c r="I130" s="9">
        <v>38500</v>
      </c>
      <c r="J130" s="9" t="s">
        <v>13</v>
      </c>
      <c r="K130" s="9">
        <v>40</v>
      </c>
      <c r="L130" s="9" t="s">
        <v>46</v>
      </c>
    </row>
    <row r="131" spans="1:12" x14ac:dyDescent="0.35">
      <c r="A131">
        <v>100057</v>
      </c>
      <c r="B131" s="10">
        <v>46163</v>
      </c>
      <c r="C131" s="9">
        <v>5</v>
      </c>
      <c r="D131" s="9">
        <v>514100</v>
      </c>
      <c r="E131" t="s">
        <v>15</v>
      </c>
      <c r="F131" t="s">
        <v>12</v>
      </c>
      <c r="G131">
        <v>10000</v>
      </c>
      <c r="H131" t="s">
        <v>13</v>
      </c>
      <c r="I131" s="9">
        <v>10000</v>
      </c>
      <c r="J131" s="9" t="s">
        <v>13</v>
      </c>
      <c r="K131" s="9">
        <v>50</v>
      </c>
      <c r="L131" s="9" t="s">
        <v>47</v>
      </c>
    </row>
    <row r="132" spans="1:12" x14ac:dyDescent="0.35">
      <c r="A132">
        <v>100057</v>
      </c>
      <c r="B132" s="10">
        <v>46163</v>
      </c>
      <c r="C132" s="9">
        <v>5</v>
      </c>
      <c r="D132" s="9">
        <v>613100</v>
      </c>
      <c r="E132" t="s">
        <v>48</v>
      </c>
      <c r="F132" t="s">
        <v>45</v>
      </c>
      <c r="G132">
        <v>10000</v>
      </c>
      <c r="H132" t="s">
        <v>13</v>
      </c>
      <c r="I132" s="9">
        <v>10000</v>
      </c>
      <c r="J132" s="9" t="s">
        <v>13</v>
      </c>
      <c r="K132" s="9">
        <v>40</v>
      </c>
      <c r="L132" s="9" t="s">
        <v>49</v>
      </c>
    </row>
    <row r="133" spans="1:12" x14ac:dyDescent="0.35">
      <c r="A133">
        <v>100058</v>
      </c>
      <c r="B133" s="10">
        <v>46164</v>
      </c>
      <c r="C133" s="9">
        <v>5</v>
      </c>
      <c r="D133" s="9">
        <v>514100</v>
      </c>
      <c r="E133" t="s">
        <v>15</v>
      </c>
      <c r="F133" t="s">
        <v>12</v>
      </c>
      <c r="G133">
        <v>7900</v>
      </c>
      <c r="H133" t="s">
        <v>13</v>
      </c>
      <c r="I133" s="9">
        <v>7900</v>
      </c>
      <c r="J133" s="9" t="s">
        <v>13</v>
      </c>
      <c r="K133" s="9">
        <v>50</v>
      </c>
      <c r="L133" s="9" t="s">
        <v>50</v>
      </c>
    </row>
    <row r="134" spans="1:12" x14ac:dyDescent="0.35">
      <c r="A134">
        <v>100058</v>
      </c>
      <c r="B134" s="10">
        <v>46164</v>
      </c>
      <c r="C134" s="9">
        <v>5</v>
      </c>
      <c r="D134" s="9">
        <v>614100</v>
      </c>
      <c r="E134" t="s">
        <v>51</v>
      </c>
      <c r="F134" t="s">
        <v>22</v>
      </c>
      <c r="G134">
        <v>7900</v>
      </c>
      <c r="H134" t="s">
        <v>13</v>
      </c>
      <c r="I134" s="9">
        <v>7900</v>
      </c>
      <c r="J134" s="9" t="s">
        <v>13</v>
      </c>
      <c r="K134" s="9">
        <v>40</v>
      </c>
      <c r="L134" s="9" t="s">
        <v>52</v>
      </c>
    </row>
    <row r="135" spans="1:12" x14ac:dyDescent="0.35">
      <c r="A135">
        <v>100059</v>
      </c>
      <c r="B135" s="10">
        <v>46165</v>
      </c>
      <c r="C135" s="9">
        <v>5</v>
      </c>
      <c r="D135" s="9">
        <v>514100</v>
      </c>
      <c r="E135" t="s">
        <v>15</v>
      </c>
      <c r="F135" t="s">
        <v>12</v>
      </c>
      <c r="G135">
        <v>5500</v>
      </c>
      <c r="H135" t="s">
        <v>13</v>
      </c>
      <c r="I135" s="9">
        <v>5500</v>
      </c>
      <c r="J135" s="9" t="s">
        <v>13</v>
      </c>
      <c r="K135" s="9">
        <v>50</v>
      </c>
      <c r="L135" s="9" t="s">
        <v>53</v>
      </c>
    </row>
    <row r="136" spans="1:12" x14ac:dyDescent="0.35">
      <c r="A136">
        <v>100059</v>
      </c>
      <c r="B136" s="10">
        <v>46165</v>
      </c>
      <c r="C136" s="9">
        <v>5</v>
      </c>
      <c r="D136" s="9">
        <v>618100</v>
      </c>
      <c r="E136" t="s">
        <v>54</v>
      </c>
      <c r="F136" t="s">
        <v>55</v>
      </c>
      <c r="G136">
        <v>5500</v>
      </c>
      <c r="H136" t="s">
        <v>13</v>
      </c>
      <c r="I136" s="9">
        <v>5500</v>
      </c>
      <c r="J136" s="9" t="s">
        <v>13</v>
      </c>
      <c r="K136" s="9">
        <v>40</v>
      </c>
      <c r="L136" s="9" t="s">
        <v>56</v>
      </c>
    </row>
    <row r="137" spans="1:12" x14ac:dyDescent="0.35">
      <c r="A137">
        <v>100060</v>
      </c>
      <c r="B137" s="10">
        <v>46169</v>
      </c>
      <c r="C137" s="9">
        <v>5</v>
      </c>
      <c r="D137" s="9">
        <v>311100</v>
      </c>
      <c r="E137" t="s">
        <v>57</v>
      </c>
      <c r="F137" t="s">
        <v>12</v>
      </c>
      <c r="G137">
        <v>8000</v>
      </c>
      <c r="H137" t="s">
        <v>13</v>
      </c>
      <c r="I137" s="9">
        <v>8000</v>
      </c>
      <c r="J137" s="9" t="s">
        <v>13</v>
      </c>
      <c r="K137" s="9">
        <v>50</v>
      </c>
      <c r="L137" s="9" t="s">
        <v>59</v>
      </c>
    </row>
    <row r="138" spans="1:12" x14ac:dyDescent="0.35">
      <c r="A138">
        <v>100060</v>
      </c>
      <c r="B138" s="10">
        <v>46169</v>
      </c>
      <c r="C138" s="9">
        <v>5</v>
      </c>
      <c r="D138" s="9">
        <v>611100</v>
      </c>
      <c r="E138" t="s">
        <v>21</v>
      </c>
      <c r="F138" t="s">
        <v>22</v>
      </c>
      <c r="G138">
        <v>8000</v>
      </c>
      <c r="H138" t="s">
        <v>13</v>
      </c>
      <c r="I138" s="9">
        <v>8000</v>
      </c>
      <c r="J138" s="9" t="s">
        <v>13</v>
      </c>
      <c r="K138" s="9">
        <v>40</v>
      </c>
      <c r="L138" s="9" t="s">
        <v>63</v>
      </c>
    </row>
    <row r="139" spans="1:12" x14ac:dyDescent="0.35">
      <c r="A139">
        <v>100061</v>
      </c>
      <c r="B139" s="10">
        <v>46170</v>
      </c>
      <c r="C139" s="9">
        <v>5</v>
      </c>
      <c r="D139" s="9">
        <v>514100</v>
      </c>
      <c r="E139" t="s">
        <v>15</v>
      </c>
      <c r="F139" t="s">
        <v>12</v>
      </c>
      <c r="G139">
        <v>7000</v>
      </c>
      <c r="H139" t="s">
        <v>13</v>
      </c>
      <c r="I139" s="9">
        <v>7000</v>
      </c>
      <c r="J139" s="9" t="s">
        <v>13</v>
      </c>
      <c r="K139" s="9">
        <v>50</v>
      </c>
      <c r="L139" s="9" t="s">
        <v>60</v>
      </c>
    </row>
    <row r="140" spans="1:12" x14ac:dyDescent="0.35">
      <c r="A140">
        <v>100061</v>
      </c>
      <c r="B140" s="10">
        <v>46170</v>
      </c>
      <c r="C140" s="9">
        <v>5</v>
      </c>
      <c r="D140" s="9">
        <v>619100</v>
      </c>
      <c r="E140" t="s">
        <v>61</v>
      </c>
      <c r="F140" t="s">
        <v>55</v>
      </c>
      <c r="G140">
        <v>7000</v>
      </c>
      <c r="H140" t="s">
        <v>13</v>
      </c>
      <c r="I140" s="9">
        <v>7000</v>
      </c>
      <c r="J140" s="9" t="s">
        <v>13</v>
      </c>
      <c r="K140" s="9">
        <v>40</v>
      </c>
      <c r="L140" s="9" t="s">
        <v>62</v>
      </c>
    </row>
    <row r="141" spans="1:12" x14ac:dyDescent="0.35">
      <c r="A141">
        <v>100062</v>
      </c>
      <c r="B141" s="10">
        <v>46178</v>
      </c>
      <c r="C141" s="9">
        <v>6</v>
      </c>
      <c r="D141" s="9">
        <v>345500</v>
      </c>
      <c r="E141" t="s">
        <v>17</v>
      </c>
      <c r="F141" t="s">
        <v>12</v>
      </c>
      <c r="G141">
        <v>15800</v>
      </c>
      <c r="H141" t="s">
        <v>13</v>
      </c>
      <c r="I141" s="9">
        <v>15800</v>
      </c>
      <c r="J141" s="9" t="s">
        <v>13</v>
      </c>
      <c r="K141" s="9">
        <v>40</v>
      </c>
      <c r="L141" s="9" t="s">
        <v>18</v>
      </c>
    </row>
    <row r="142" spans="1:12" x14ac:dyDescent="0.35">
      <c r="A142">
        <v>100062</v>
      </c>
      <c r="B142" s="10">
        <v>46178</v>
      </c>
      <c r="C142" s="9">
        <v>6</v>
      </c>
      <c r="D142" s="9">
        <v>441100</v>
      </c>
      <c r="E142" t="s">
        <v>19</v>
      </c>
      <c r="F142" t="s">
        <v>12</v>
      </c>
      <c r="G142">
        <v>94800</v>
      </c>
      <c r="H142" t="s">
        <v>13</v>
      </c>
      <c r="I142" s="9">
        <v>94800</v>
      </c>
      <c r="J142" s="9" t="s">
        <v>13</v>
      </c>
      <c r="K142" s="9">
        <v>50</v>
      </c>
      <c r="L142" s="9" t="s">
        <v>20</v>
      </c>
    </row>
    <row r="143" spans="1:12" x14ac:dyDescent="0.35">
      <c r="A143">
        <v>100062</v>
      </c>
      <c r="B143" s="10">
        <v>46178</v>
      </c>
      <c r="C143" s="9">
        <v>6</v>
      </c>
      <c r="D143" s="9">
        <v>611100</v>
      </c>
      <c r="E143" t="s">
        <v>21</v>
      </c>
      <c r="F143" t="s">
        <v>22</v>
      </c>
      <c r="G143">
        <v>79000</v>
      </c>
      <c r="H143" t="s">
        <v>13</v>
      </c>
      <c r="I143" s="9">
        <v>79000</v>
      </c>
      <c r="J143" s="9" t="s">
        <v>13</v>
      </c>
      <c r="K143" s="9">
        <v>40</v>
      </c>
      <c r="L143" s="9" t="s">
        <v>23</v>
      </c>
    </row>
    <row r="144" spans="1:12" x14ac:dyDescent="0.35">
      <c r="A144">
        <v>100063</v>
      </c>
      <c r="B144" s="10">
        <v>46181</v>
      </c>
      <c r="C144" s="9">
        <v>6</v>
      </c>
      <c r="D144" s="9">
        <v>345500</v>
      </c>
      <c r="E144" t="s">
        <v>17</v>
      </c>
      <c r="F144" t="s">
        <v>12</v>
      </c>
      <c r="G144">
        <v>9356.7999999999993</v>
      </c>
      <c r="H144" t="s">
        <v>13</v>
      </c>
      <c r="I144" s="9">
        <v>9356.7999999999993</v>
      </c>
      <c r="J144" s="9" t="s">
        <v>13</v>
      </c>
      <c r="K144" s="9">
        <v>40</v>
      </c>
      <c r="L144" s="9" t="s">
        <v>24</v>
      </c>
    </row>
    <row r="145" spans="1:12" x14ac:dyDescent="0.35">
      <c r="A145">
        <v>100063</v>
      </c>
      <c r="B145" s="10">
        <v>46181</v>
      </c>
      <c r="C145" s="9">
        <v>6</v>
      </c>
      <c r="D145" s="9">
        <v>441100</v>
      </c>
      <c r="E145" t="s">
        <v>19</v>
      </c>
      <c r="F145" t="s">
        <v>12</v>
      </c>
      <c r="G145">
        <v>56140.800000000003</v>
      </c>
      <c r="H145" t="s">
        <v>13</v>
      </c>
      <c r="I145" s="9">
        <v>56140.800000000003</v>
      </c>
      <c r="J145" s="9" t="s">
        <v>13</v>
      </c>
      <c r="K145" s="9">
        <v>50</v>
      </c>
      <c r="L145" s="9" t="s">
        <v>25</v>
      </c>
    </row>
    <row r="146" spans="1:12" x14ac:dyDescent="0.35">
      <c r="A146">
        <v>100063</v>
      </c>
      <c r="B146" s="10">
        <v>46181</v>
      </c>
      <c r="C146" s="9">
        <v>6</v>
      </c>
      <c r="D146" s="9">
        <v>611100</v>
      </c>
      <c r="E146" t="s">
        <v>21</v>
      </c>
      <c r="F146" t="s">
        <v>22</v>
      </c>
      <c r="G146">
        <v>4300</v>
      </c>
      <c r="H146" t="s">
        <v>26</v>
      </c>
      <c r="I146" s="9">
        <v>46784</v>
      </c>
      <c r="J146" s="9" t="s">
        <v>13</v>
      </c>
      <c r="K146" s="9">
        <v>40</v>
      </c>
      <c r="L146" s="9" t="s">
        <v>27</v>
      </c>
    </row>
    <row r="147" spans="1:12" x14ac:dyDescent="0.35">
      <c r="A147">
        <v>100064</v>
      </c>
      <c r="B147" s="10">
        <v>46183</v>
      </c>
      <c r="C147" s="9">
        <v>6</v>
      </c>
      <c r="D147" s="9">
        <v>342100</v>
      </c>
      <c r="E147" t="s">
        <v>28</v>
      </c>
      <c r="F147" t="s">
        <v>12</v>
      </c>
      <c r="G147">
        <v>150000</v>
      </c>
      <c r="H147" t="s">
        <v>13</v>
      </c>
      <c r="I147" s="9">
        <v>150000</v>
      </c>
      <c r="J147" s="9" t="s">
        <v>13</v>
      </c>
      <c r="K147" s="9">
        <v>40</v>
      </c>
      <c r="L147" s="9" t="s">
        <v>29</v>
      </c>
    </row>
    <row r="148" spans="1:12" x14ac:dyDescent="0.35">
      <c r="A148">
        <v>100064</v>
      </c>
      <c r="B148" s="10">
        <v>46183</v>
      </c>
      <c r="C148" s="9">
        <v>6</v>
      </c>
      <c r="D148" s="9">
        <v>445500</v>
      </c>
      <c r="E148" t="s">
        <v>30</v>
      </c>
      <c r="F148" t="s">
        <v>12</v>
      </c>
      <c r="G148">
        <v>25000</v>
      </c>
      <c r="H148" t="s">
        <v>13</v>
      </c>
      <c r="I148" s="9">
        <v>25000</v>
      </c>
      <c r="J148" s="9" t="s">
        <v>13</v>
      </c>
      <c r="K148" s="9">
        <v>50</v>
      </c>
      <c r="L148" s="9" t="s">
        <v>31</v>
      </c>
    </row>
    <row r="149" spans="1:12" x14ac:dyDescent="0.35">
      <c r="A149">
        <v>100064</v>
      </c>
      <c r="B149" s="10">
        <v>46183</v>
      </c>
      <c r="C149" s="9">
        <v>6</v>
      </c>
      <c r="D149" s="9">
        <v>711100</v>
      </c>
      <c r="E149" t="s">
        <v>32</v>
      </c>
      <c r="F149" t="s">
        <v>33</v>
      </c>
      <c r="G149">
        <v>125000</v>
      </c>
      <c r="H149" t="s">
        <v>13</v>
      </c>
      <c r="I149" s="9">
        <v>125000</v>
      </c>
      <c r="J149" s="9" t="s">
        <v>13</v>
      </c>
      <c r="K149" s="9">
        <v>50</v>
      </c>
      <c r="L149" s="9" t="s">
        <v>34</v>
      </c>
    </row>
    <row r="150" spans="1:12" x14ac:dyDescent="0.35">
      <c r="A150">
        <v>100065</v>
      </c>
      <c r="B150" s="10">
        <v>46188</v>
      </c>
      <c r="C150" s="9">
        <v>6</v>
      </c>
      <c r="D150" s="9">
        <v>342100</v>
      </c>
      <c r="E150" t="s">
        <v>28</v>
      </c>
      <c r="F150" t="s">
        <v>12</v>
      </c>
      <c r="G150">
        <v>6200</v>
      </c>
      <c r="H150" t="s">
        <v>35</v>
      </c>
      <c r="I150" s="9">
        <v>61256</v>
      </c>
      <c r="J150" s="9" t="s">
        <v>13</v>
      </c>
      <c r="K150" s="9">
        <v>40</v>
      </c>
      <c r="L150" s="9" t="s">
        <v>36</v>
      </c>
    </row>
    <row r="151" spans="1:12" x14ac:dyDescent="0.35">
      <c r="A151">
        <v>100065</v>
      </c>
      <c r="B151" s="10">
        <v>46188</v>
      </c>
      <c r="C151" s="9">
        <v>6</v>
      </c>
      <c r="D151" s="9">
        <v>712100</v>
      </c>
      <c r="E151" t="s">
        <v>37</v>
      </c>
      <c r="F151" t="s">
        <v>33</v>
      </c>
      <c r="G151">
        <v>6200</v>
      </c>
      <c r="H151" t="s">
        <v>35</v>
      </c>
      <c r="I151" s="9">
        <v>61256</v>
      </c>
      <c r="J151" s="9" t="s">
        <v>13</v>
      </c>
      <c r="K151" s="9">
        <v>50</v>
      </c>
      <c r="L151" s="9" t="s">
        <v>38</v>
      </c>
    </row>
    <row r="152" spans="1:12" x14ac:dyDescent="0.35">
      <c r="A152">
        <v>100066</v>
      </c>
      <c r="B152" s="10">
        <v>46191</v>
      </c>
      <c r="C152" s="9">
        <v>6</v>
      </c>
      <c r="D152" s="9">
        <v>342100</v>
      </c>
      <c r="E152" t="s">
        <v>28</v>
      </c>
      <c r="F152" t="s">
        <v>12</v>
      </c>
      <c r="G152">
        <v>110000</v>
      </c>
      <c r="H152" t="s">
        <v>13</v>
      </c>
      <c r="I152" s="9">
        <v>110000</v>
      </c>
      <c r="J152" s="9" t="s">
        <v>13</v>
      </c>
      <c r="K152" s="9">
        <v>50</v>
      </c>
      <c r="L152" s="9" t="s">
        <v>39</v>
      </c>
    </row>
    <row r="153" spans="1:12" x14ac:dyDescent="0.35">
      <c r="A153">
        <v>100066</v>
      </c>
      <c r="B153" s="10">
        <v>46191</v>
      </c>
      <c r="C153" s="9">
        <v>6</v>
      </c>
      <c r="D153" s="9">
        <v>514100</v>
      </c>
      <c r="E153" t="s">
        <v>15</v>
      </c>
      <c r="F153" t="s">
        <v>12</v>
      </c>
      <c r="G153">
        <v>110000</v>
      </c>
      <c r="H153" t="s">
        <v>13</v>
      </c>
      <c r="I153" s="9">
        <v>110000</v>
      </c>
      <c r="J153" s="9" t="s">
        <v>13</v>
      </c>
      <c r="K153" s="9">
        <v>40</v>
      </c>
      <c r="L153" s="9" t="s">
        <v>40</v>
      </c>
    </row>
    <row r="154" spans="1:12" x14ac:dyDescent="0.35">
      <c r="A154">
        <v>100067</v>
      </c>
      <c r="B154" s="10">
        <v>46192</v>
      </c>
      <c r="C154" s="9">
        <v>6</v>
      </c>
      <c r="D154" s="9">
        <v>441100</v>
      </c>
      <c r="E154" t="s">
        <v>19</v>
      </c>
      <c r="F154" t="s">
        <v>12</v>
      </c>
      <c r="G154">
        <v>67000</v>
      </c>
      <c r="H154" t="s">
        <v>13</v>
      </c>
      <c r="I154" s="9">
        <v>67000</v>
      </c>
      <c r="J154" s="9" t="s">
        <v>13</v>
      </c>
      <c r="K154" s="9">
        <v>40</v>
      </c>
      <c r="L154" s="9" t="s">
        <v>41</v>
      </c>
    </row>
    <row r="155" spans="1:12" x14ac:dyDescent="0.35">
      <c r="A155">
        <v>100067</v>
      </c>
      <c r="B155" s="10">
        <v>46192</v>
      </c>
      <c r="C155" s="9">
        <v>6</v>
      </c>
      <c r="D155" s="9">
        <v>514100</v>
      </c>
      <c r="E155" t="s">
        <v>15</v>
      </c>
      <c r="F155" t="s">
        <v>12</v>
      </c>
      <c r="G155">
        <v>67000</v>
      </c>
      <c r="H155" t="s">
        <v>13</v>
      </c>
      <c r="I155" s="9">
        <v>67000</v>
      </c>
      <c r="J155" s="9" t="s">
        <v>13</v>
      </c>
      <c r="K155" s="9">
        <v>50</v>
      </c>
      <c r="L155" s="9" t="s">
        <v>42</v>
      </c>
    </row>
    <row r="156" spans="1:12" x14ac:dyDescent="0.35">
      <c r="A156">
        <v>100068</v>
      </c>
      <c r="B156" s="10">
        <v>46193</v>
      </c>
      <c r="C156" s="9">
        <v>6</v>
      </c>
      <c r="D156" s="9">
        <v>514100</v>
      </c>
      <c r="E156" t="s">
        <v>15</v>
      </c>
      <c r="F156" t="s">
        <v>12</v>
      </c>
      <c r="G156">
        <v>39500</v>
      </c>
      <c r="H156" t="s">
        <v>13</v>
      </c>
      <c r="I156" s="9">
        <v>39500</v>
      </c>
      <c r="J156" s="9" t="s">
        <v>13</v>
      </c>
      <c r="K156" s="9">
        <v>50</v>
      </c>
      <c r="L156" s="9" t="s">
        <v>43</v>
      </c>
    </row>
    <row r="157" spans="1:12" x14ac:dyDescent="0.35">
      <c r="A157">
        <v>100068</v>
      </c>
      <c r="B157" s="10">
        <v>46193</v>
      </c>
      <c r="C157" s="9">
        <v>6</v>
      </c>
      <c r="D157" s="9">
        <v>617100</v>
      </c>
      <c r="E157" t="s">
        <v>44</v>
      </c>
      <c r="F157" t="s">
        <v>45</v>
      </c>
      <c r="G157">
        <v>39500</v>
      </c>
      <c r="H157" t="s">
        <v>13</v>
      </c>
      <c r="I157" s="9">
        <v>39500</v>
      </c>
      <c r="J157" s="9" t="s">
        <v>13</v>
      </c>
      <c r="K157" s="9">
        <v>40</v>
      </c>
      <c r="L157" s="9" t="s">
        <v>46</v>
      </c>
    </row>
    <row r="158" spans="1:12" x14ac:dyDescent="0.35">
      <c r="A158">
        <v>100069</v>
      </c>
      <c r="B158" s="10">
        <v>46194</v>
      </c>
      <c r="C158" s="9">
        <v>6</v>
      </c>
      <c r="D158" s="9">
        <v>514100</v>
      </c>
      <c r="E158" t="s">
        <v>15</v>
      </c>
      <c r="F158" t="s">
        <v>12</v>
      </c>
      <c r="G158">
        <v>10000</v>
      </c>
      <c r="H158" t="s">
        <v>13</v>
      </c>
      <c r="I158" s="9">
        <v>10000</v>
      </c>
      <c r="J158" s="9" t="s">
        <v>13</v>
      </c>
      <c r="K158" s="9">
        <v>50</v>
      </c>
      <c r="L158" s="9" t="s">
        <v>47</v>
      </c>
    </row>
    <row r="159" spans="1:12" x14ac:dyDescent="0.35">
      <c r="A159">
        <v>100069</v>
      </c>
      <c r="B159" s="10">
        <v>46194</v>
      </c>
      <c r="C159" s="9">
        <v>6</v>
      </c>
      <c r="D159" s="9">
        <v>613100</v>
      </c>
      <c r="E159" t="s">
        <v>48</v>
      </c>
      <c r="F159" t="s">
        <v>45</v>
      </c>
      <c r="G159">
        <v>10000</v>
      </c>
      <c r="H159" t="s">
        <v>13</v>
      </c>
      <c r="I159" s="9">
        <v>10000</v>
      </c>
      <c r="J159" s="9" t="s">
        <v>13</v>
      </c>
      <c r="K159" s="9">
        <v>40</v>
      </c>
      <c r="L159" s="9" t="s">
        <v>49</v>
      </c>
    </row>
    <row r="160" spans="1:12" x14ac:dyDescent="0.35">
      <c r="A160">
        <v>100070</v>
      </c>
      <c r="B160" s="10">
        <v>46195</v>
      </c>
      <c r="C160" s="9">
        <v>6</v>
      </c>
      <c r="D160" s="9">
        <v>514100</v>
      </c>
      <c r="E160" t="s">
        <v>15</v>
      </c>
      <c r="F160" t="s">
        <v>12</v>
      </c>
      <c r="G160">
        <v>8200</v>
      </c>
      <c r="H160" t="s">
        <v>13</v>
      </c>
      <c r="I160" s="9">
        <v>8200</v>
      </c>
      <c r="J160" s="9" t="s">
        <v>13</v>
      </c>
      <c r="K160" s="9">
        <v>50</v>
      </c>
      <c r="L160" s="9" t="s">
        <v>50</v>
      </c>
    </row>
    <row r="161" spans="1:12" x14ac:dyDescent="0.35">
      <c r="A161">
        <v>100070</v>
      </c>
      <c r="B161" s="10">
        <v>46195</v>
      </c>
      <c r="C161" s="9">
        <v>6</v>
      </c>
      <c r="D161" s="9">
        <v>614100</v>
      </c>
      <c r="E161" t="s">
        <v>51</v>
      </c>
      <c r="F161" t="s">
        <v>22</v>
      </c>
      <c r="G161">
        <v>8200</v>
      </c>
      <c r="H161" t="s">
        <v>13</v>
      </c>
      <c r="I161" s="9">
        <v>8200</v>
      </c>
      <c r="J161" s="9" t="s">
        <v>13</v>
      </c>
      <c r="K161" s="9">
        <v>40</v>
      </c>
      <c r="L161" s="9" t="s">
        <v>52</v>
      </c>
    </row>
    <row r="162" spans="1:12" x14ac:dyDescent="0.35">
      <c r="A162">
        <v>100071</v>
      </c>
      <c r="B162" s="10">
        <v>46196</v>
      </c>
      <c r="C162" s="9">
        <v>6</v>
      </c>
      <c r="D162" s="9">
        <v>514100</v>
      </c>
      <c r="E162" t="s">
        <v>15</v>
      </c>
      <c r="F162" t="s">
        <v>12</v>
      </c>
      <c r="G162">
        <v>6500</v>
      </c>
      <c r="H162" t="s">
        <v>13</v>
      </c>
      <c r="I162" s="9">
        <v>6500</v>
      </c>
      <c r="J162" s="9" t="s">
        <v>13</v>
      </c>
      <c r="K162" s="9">
        <v>50</v>
      </c>
      <c r="L162" s="9" t="s">
        <v>53</v>
      </c>
    </row>
    <row r="163" spans="1:12" x14ac:dyDescent="0.35">
      <c r="A163">
        <v>100071</v>
      </c>
      <c r="B163" s="10">
        <v>46196</v>
      </c>
      <c r="C163" s="9">
        <v>6</v>
      </c>
      <c r="D163" s="9">
        <v>618100</v>
      </c>
      <c r="E163" t="s">
        <v>54</v>
      </c>
      <c r="F163" t="s">
        <v>55</v>
      </c>
      <c r="G163">
        <v>6500</v>
      </c>
      <c r="H163" t="s">
        <v>13</v>
      </c>
      <c r="I163" s="9">
        <v>6500</v>
      </c>
      <c r="J163" s="9" t="s">
        <v>13</v>
      </c>
      <c r="K163" s="9">
        <v>40</v>
      </c>
      <c r="L163" s="9" t="s">
        <v>56</v>
      </c>
    </row>
    <row r="164" spans="1:12" x14ac:dyDescent="0.35">
      <c r="A164">
        <v>100072</v>
      </c>
      <c r="B164" s="10">
        <v>46200</v>
      </c>
      <c r="C164" s="9">
        <v>6</v>
      </c>
      <c r="D164" s="9">
        <v>311100</v>
      </c>
      <c r="E164" t="s">
        <v>57</v>
      </c>
      <c r="F164" t="s">
        <v>12</v>
      </c>
      <c r="G164">
        <v>15000</v>
      </c>
      <c r="H164" t="s">
        <v>13</v>
      </c>
      <c r="I164" s="9">
        <v>15000</v>
      </c>
      <c r="J164" s="9" t="s">
        <v>13</v>
      </c>
      <c r="K164" s="9">
        <v>40</v>
      </c>
      <c r="L164" s="9" t="s">
        <v>58</v>
      </c>
    </row>
    <row r="165" spans="1:12" x14ac:dyDescent="0.35">
      <c r="A165">
        <v>100072</v>
      </c>
      <c r="B165" s="10">
        <v>46200</v>
      </c>
      <c r="C165" s="9">
        <v>6</v>
      </c>
      <c r="D165" s="9">
        <v>611100</v>
      </c>
      <c r="E165" t="s">
        <v>21</v>
      </c>
      <c r="F165" t="s">
        <v>22</v>
      </c>
      <c r="G165">
        <v>15000</v>
      </c>
      <c r="H165" t="s">
        <v>13</v>
      </c>
      <c r="I165" s="9">
        <v>15000</v>
      </c>
      <c r="J165" s="9" t="s">
        <v>13</v>
      </c>
      <c r="K165" s="9">
        <v>50</v>
      </c>
      <c r="L165" s="9" t="s">
        <v>59</v>
      </c>
    </row>
    <row r="166" spans="1:12" x14ac:dyDescent="0.35">
      <c r="A166">
        <v>100073</v>
      </c>
      <c r="B166" s="10">
        <v>46201</v>
      </c>
      <c r="C166" s="9">
        <v>6</v>
      </c>
      <c r="D166" s="9">
        <v>514100</v>
      </c>
      <c r="E166" t="s">
        <v>15</v>
      </c>
      <c r="F166" t="s">
        <v>12</v>
      </c>
      <c r="G166">
        <v>7000</v>
      </c>
      <c r="H166" t="s">
        <v>13</v>
      </c>
      <c r="I166" s="9">
        <v>7000</v>
      </c>
      <c r="J166" s="9" t="s">
        <v>13</v>
      </c>
      <c r="K166" s="9">
        <v>50</v>
      </c>
      <c r="L166" s="9" t="s">
        <v>60</v>
      </c>
    </row>
    <row r="167" spans="1:12" x14ac:dyDescent="0.35">
      <c r="A167">
        <v>100073</v>
      </c>
      <c r="B167" s="10">
        <v>46201</v>
      </c>
      <c r="C167" s="9">
        <v>6</v>
      </c>
      <c r="D167" s="9">
        <v>619100</v>
      </c>
      <c r="E167" t="s">
        <v>61</v>
      </c>
      <c r="F167" t="s">
        <v>55</v>
      </c>
      <c r="G167">
        <v>7000</v>
      </c>
      <c r="H167" t="s">
        <v>13</v>
      </c>
      <c r="I167" s="9">
        <v>7000</v>
      </c>
      <c r="J167" s="9" t="s">
        <v>13</v>
      </c>
      <c r="K167" s="9">
        <v>40</v>
      </c>
      <c r="L167" s="9" t="s">
        <v>62</v>
      </c>
    </row>
    <row r="168" spans="1:12" x14ac:dyDescent="0.35">
      <c r="A168">
        <v>100074</v>
      </c>
      <c r="B168" s="10">
        <v>46052</v>
      </c>
      <c r="C168" s="9">
        <v>1</v>
      </c>
      <c r="D168" s="9">
        <v>514100</v>
      </c>
      <c r="E168" t="s">
        <v>15</v>
      </c>
      <c r="F168" t="s">
        <v>12</v>
      </c>
      <c r="G168">
        <v>3200</v>
      </c>
      <c r="H168" t="s">
        <v>13</v>
      </c>
      <c r="I168" s="9">
        <v>3200</v>
      </c>
      <c r="J168" s="9" t="s">
        <v>13</v>
      </c>
      <c r="K168" s="9">
        <v>50</v>
      </c>
      <c r="L168" s="9" t="s">
        <v>64</v>
      </c>
    </row>
    <row r="169" spans="1:12" x14ac:dyDescent="0.35">
      <c r="A169">
        <v>100074</v>
      </c>
      <c r="B169" s="10">
        <v>46052</v>
      </c>
      <c r="C169" s="9">
        <v>1</v>
      </c>
      <c r="D169" s="9">
        <v>614100</v>
      </c>
      <c r="E169" t="s">
        <v>51</v>
      </c>
      <c r="F169" t="s">
        <v>33</v>
      </c>
      <c r="G169">
        <v>3200</v>
      </c>
      <c r="H169" t="s">
        <v>13</v>
      </c>
      <c r="I169" s="9">
        <v>3200</v>
      </c>
      <c r="J169" s="9" t="s">
        <v>13</v>
      </c>
      <c r="K169" s="9">
        <v>40</v>
      </c>
      <c r="L169" s="9" t="s">
        <v>65</v>
      </c>
    </row>
    <row r="170" spans="1:12" x14ac:dyDescent="0.35">
      <c r="A170">
        <v>100075</v>
      </c>
      <c r="B170" s="9" t="s">
        <v>66</v>
      </c>
      <c r="C170" s="9">
        <v>2</v>
      </c>
      <c r="D170" s="9">
        <v>514100</v>
      </c>
      <c r="E170" t="s">
        <v>15</v>
      </c>
      <c r="F170" t="s">
        <v>12</v>
      </c>
      <c r="G170">
        <v>2800</v>
      </c>
      <c r="H170" t="s">
        <v>13</v>
      </c>
      <c r="I170" s="9">
        <v>2800</v>
      </c>
      <c r="J170" s="9" t="s">
        <v>13</v>
      </c>
      <c r="K170" s="9">
        <v>50</v>
      </c>
      <c r="L170" s="9" t="s">
        <v>67</v>
      </c>
    </row>
    <row r="171" spans="1:12" x14ac:dyDescent="0.35">
      <c r="A171">
        <v>100075</v>
      </c>
      <c r="B171" s="9" t="s">
        <v>66</v>
      </c>
      <c r="C171" s="9">
        <v>2</v>
      </c>
      <c r="D171" s="9">
        <v>618100</v>
      </c>
      <c r="E171" t="s">
        <v>54</v>
      </c>
      <c r="F171" t="s">
        <v>45</v>
      </c>
      <c r="G171">
        <v>2800</v>
      </c>
      <c r="H171" t="s">
        <v>13</v>
      </c>
      <c r="I171" s="9">
        <v>2800</v>
      </c>
      <c r="J171" s="9" t="s">
        <v>13</v>
      </c>
      <c r="K171" s="9">
        <v>40</v>
      </c>
      <c r="L171" s="9" t="s">
        <v>68</v>
      </c>
    </row>
    <row r="172" spans="1:12" x14ac:dyDescent="0.35">
      <c r="A172">
        <v>100076</v>
      </c>
      <c r="B172" s="10">
        <v>46111</v>
      </c>
      <c r="C172" s="9">
        <v>3</v>
      </c>
      <c r="D172" s="9">
        <v>514100</v>
      </c>
      <c r="E172" t="s">
        <v>15</v>
      </c>
      <c r="F172" t="s">
        <v>12</v>
      </c>
      <c r="G172">
        <v>4100</v>
      </c>
      <c r="H172" t="s">
        <v>13</v>
      </c>
      <c r="I172" s="9">
        <v>4100</v>
      </c>
      <c r="J172" s="9" t="s">
        <v>13</v>
      </c>
      <c r="K172" s="9">
        <v>50</v>
      </c>
      <c r="L172" s="9" t="s">
        <v>69</v>
      </c>
    </row>
    <row r="173" spans="1:12" x14ac:dyDescent="0.35">
      <c r="A173">
        <v>100076</v>
      </c>
      <c r="B173" s="10">
        <v>46111</v>
      </c>
      <c r="C173" s="9">
        <v>3</v>
      </c>
      <c r="D173" s="9">
        <v>614100</v>
      </c>
      <c r="E173" t="s">
        <v>51</v>
      </c>
      <c r="F173" t="s">
        <v>33</v>
      </c>
      <c r="G173">
        <v>4100</v>
      </c>
      <c r="H173" t="s">
        <v>13</v>
      </c>
      <c r="I173" s="9">
        <v>4100</v>
      </c>
      <c r="J173" s="9" t="s">
        <v>13</v>
      </c>
      <c r="K173" s="9">
        <v>40</v>
      </c>
      <c r="L173" s="9" t="s">
        <v>70</v>
      </c>
    </row>
    <row r="174" spans="1:12" x14ac:dyDescent="0.35">
      <c r="A174">
        <v>100077</v>
      </c>
      <c r="B174" s="10">
        <v>46142</v>
      </c>
      <c r="C174" s="9">
        <v>4</v>
      </c>
      <c r="D174" s="9">
        <v>514100</v>
      </c>
      <c r="E174" t="s">
        <v>15</v>
      </c>
      <c r="F174" t="s">
        <v>12</v>
      </c>
      <c r="G174">
        <v>3600</v>
      </c>
      <c r="H174" t="s">
        <v>13</v>
      </c>
      <c r="I174" s="9">
        <v>3600</v>
      </c>
      <c r="J174" s="9" t="s">
        <v>13</v>
      </c>
      <c r="K174" s="9">
        <v>50</v>
      </c>
      <c r="L174" s="9" t="s">
        <v>71</v>
      </c>
    </row>
    <row r="175" spans="1:12" x14ac:dyDescent="0.35">
      <c r="A175">
        <v>100077</v>
      </c>
      <c r="B175" s="10">
        <v>46142</v>
      </c>
      <c r="C175" s="9">
        <v>4</v>
      </c>
      <c r="D175" s="9">
        <v>618100</v>
      </c>
      <c r="E175" t="s">
        <v>54</v>
      </c>
      <c r="F175" t="s">
        <v>55</v>
      </c>
      <c r="G175">
        <v>3600</v>
      </c>
      <c r="H175" t="s">
        <v>13</v>
      </c>
      <c r="I175" s="9">
        <v>3600</v>
      </c>
      <c r="J175" s="9" t="s">
        <v>13</v>
      </c>
      <c r="K175" s="9">
        <v>40</v>
      </c>
      <c r="L175" s="9" t="s">
        <v>72</v>
      </c>
    </row>
    <row r="176" spans="1:12" x14ac:dyDescent="0.35">
      <c r="A176">
        <v>100078</v>
      </c>
      <c r="B176" s="10">
        <v>46172</v>
      </c>
      <c r="C176" s="9">
        <v>5</v>
      </c>
      <c r="D176" s="9">
        <v>514100</v>
      </c>
      <c r="E176" t="s">
        <v>15</v>
      </c>
      <c r="F176" t="s">
        <v>12</v>
      </c>
      <c r="G176">
        <v>3900</v>
      </c>
      <c r="H176" t="s">
        <v>13</v>
      </c>
      <c r="I176" s="9">
        <v>3900</v>
      </c>
      <c r="J176" s="9" t="s">
        <v>13</v>
      </c>
      <c r="K176" s="9">
        <v>50</v>
      </c>
      <c r="L176" s="9" t="s">
        <v>73</v>
      </c>
    </row>
    <row r="177" spans="1:12" x14ac:dyDescent="0.35">
      <c r="A177">
        <v>100078</v>
      </c>
      <c r="B177" s="10">
        <v>46172</v>
      </c>
      <c r="C177" s="9">
        <v>5</v>
      </c>
      <c r="D177" s="9">
        <v>614100</v>
      </c>
      <c r="E177" t="s">
        <v>51</v>
      </c>
      <c r="F177" t="s">
        <v>22</v>
      </c>
      <c r="G177">
        <v>3900</v>
      </c>
      <c r="H177" t="s">
        <v>13</v>
      </c>
      <c r="I177" s="9">
        <v>3900</v>
      </c>
      <c r="J177" s="9" t="s">
        <v>13</v>
      </c>
      <c r="K177" s="9">
        <v>40</v>
      </c>
      <c r="L177" s="9" t="s">
        <v>74</v>
      </c>
    </row>
    <row r="178" spans="1:12" x14ac:dyDescent="0.35">
      <c r="A178">
        <v>100079</v>
      </c>
      <c r="B178" s="10">
        <v>46203</v>
      </c>
      <c r="C178" s="9">
        <v>6</v>
      </c>
      <c r="D178" s="9">
        <v>514100</v>
      </c>
      <c r="E178" t="s">
        <v>15</v>
      </c>
      <c r="F178" t="s">
        <v>12</v>
      </c>
      <c r="G178">
        <v>4300</v>
      </c>
      <c r="H178" t="s">
        <v>13</v>
      </c>
      <c r="I178" s="9">
        <v>4300</v>
      </c>
      <c r="J178" s="9" t="s">
        <v>13</v>
      </c>
      <c r="K178" s="9">
        <v>50</v>
      </c>
      <c r="L178" s="9" t="s">
        <v>75</v>
      </c>
    </row>
    <row r="179" spans="1:12" x14ac:dyDescent="0.35">
      <c r="A179">
        <v>100079</v>
      </c>
      <c r="B179" s="10">
        <v>46203</v>
      </c>
      <c r="C179" s="9">
        <v>6</v>
      </c>
      <c r="D179" s="9">
        <v>618100</v>
      </c>
      <c r="E179" t="s">
        <v>54</v>
      </c>
      <c r="F179" t="s">
        <v>45</v>
      </c>
      <c r="G179">
        <v>4300</v>
      </c>
      <c r="H179" t="s">
        <v>13</v>
      </c>
      <c r="I179" s="9">
        <v>4300</v>
      </c>
      <c r="J179" s="9" t="s">
        <v>13</v>
      </c>
      <c r="K179" s="9">
        <v>40</v>
      </c>
      <c r="L179" s="9" t="s">
        <v>76</v>
      </c>
    </row>
    <row r="180" spans="1:12" x14ac:dyDescent="0.35">
      <c r="A180">
        <v>200001</v>
      </c>
      <c r="B180" s="10">
        <v>46098</v>
      </c>
      <c r="C180" s="9">
        <v>3</v>
      </c>
      <c r="D180" s="9">
        <v>345500</v>
      </c>
      <c r="E180" t="s">
        <v>17</v>
      </c>
      <c r="F180" t="s">
        <v>12</v>
      </c>
      <c r="G180">
        <v>9000</v>
      </c>
      <c r="H180" t="s">
        <v>13</v>
      </c>
      <c r="I180" s="9">
        <v>9000</v>
      </c>
      <c r="J180" s="9" t="s">
        <v>13</v>
      </c>
      <c r="K180" s="9">
        <v>40</v>
      </c>
      <c r="L180" s="9" t="s">
        <v>77</v>
      </c>
    </row>
    <row r="181" spans="1:12" x14ac:dyDescent="0.35">
      <c r="A181">
        <v>200001</v>
      </c>
      <c r="B181" s="10">
        <v>46098</v>
      </c>
      <c r="C181" s="9">
        <v>3</v>
      </c>
      <c r="D181" s="9">
        <v>441100</v>
      </c>
      <c r="E181" t="s">
        <v>19</v>
      </c>
      <c r="F181" t="s">
        <v>12</v>
      </c>
      <c r="G181">
        <v>53000</v>
      </c>
      <c r="H181" t="s">
        <v>13</v>
      </c>
      <c r="I181" s="9">
        <v>53000</v>
      </c>
      <c r="J181" s="9" t="s">
        <v>13</v>
      </c>
      <c r="K181" s="9">
        <v>50</v>
      </c>
      <c r="L181" s="9" t="s">
        <v>78</v>
      </c>
    </row>
    <row r="182" spans="1:12" x14ac:dyDescent="0.35">
      <c r="A182">
        <v>200001</v>
      </c>
      <c r="B182" s="10">
        <v>46098</v>
      </c>
      <c r="C182" s="9">
        <v>3</v>
      </c>
      <c r="D182" s="9">
        <v>611100</v>
      </c>
      <c r="E182" t="s">
        <v>21</v>
      </c>
      <c r="F182" t="s">
        <v>22</v>
      </c>
      <c r="G182">
        <v>45000</v>
      </c>
      <c r="H182" t="s">
        <v>13</v>
      </c>
      <c r="I182" s="9">
        <v>45000</v>
      </c>
      <c r="J182" s="9" t="s">
        <v>13</v>
      </c>
      <c r="K182" s="9">
        <v>40</v>
      </c>
      <c r="L182" s="9" t="s">
        <v>79</v>
      </c>
    </row>
    <row r="183" spans="1:12" x14ac:dyDescent="0.35">
      <c r="A183">
        <v>200002</v>
      </c>
      <c r="B183" s="10">
        <v>46159</v>
      </c>
      <c r="C183" s="9">
        <v>5</v>
      </c>
      <c r="D183" s="9">
        <v>342100</v>
      </c>
      <c r="E183" t="s">
        <v>28</v>
      </c>
      <c r="F183" t="s">
        <v>12</v>
      </c>
      <c r="G183">
        <v>36000</v>
      </c>
      <c r="H183" t="s">
        <v>13</v>
      </c>
      <c r="I183" s="9">
        <v>36000</v>
      </c>
      <c r="J183" s="9" t="s">
        <v>13</v>
      </c>
      <c r="K183" s="9">
        <v>40</v>
      </c>
      <c r="L183" s="9" t="s">
        <v>80</v>
      </c>
    </row>
    <row r="184" spans="1:12" x14ac:dyDescent="0.35">
      <c r="A184">
        <v>200002</v>
      </c>
      <c r="B184" s="10">
        <v>46159</v>
      </c>
      <c r="C184" s="9">
        <v>5</v>
      </c>
      <c r="D184" s="9">
        <v>445500</v>
      </c>
      <c r="E184" t="s">
        <v>30</v>
      </c>
      <c r="F184" t="s">
        <v>12</v>
      </c>
      <c r="G184">
        <v>5000</v>
      </c>
      <c r="H184" t="s">
        <v>13</v>
      </c>
      <c r="I184" s="9">
        <v>5000</v>
      </c>
      <c r="J184" s="9" t="s">
        <v>13</v>
      </c>
      <c r="K184" s="9">
        <v>50</v>
      </c>
      <c r="L184" s="9" t="s">
        <v>81</v>
      </c>
    </row>
    <row r="185" spans="1:12" x14ac:dyDescent="0.35">
      <c r="A185">
        <v>200002</v>
      </c>
      <c r="B185" s="10">
        <v>46159</v>
      </c>
      <c r="C185" s="9">
        <v>5</v>
      </c>
      <c r="D185" s="9">
        <v>711100</v>
      </c>
      <c r="E185" t="s">
        <v>32</v>
      </c>
      <c r="F185" t="s">
        <v>33</v>
      </c>
      <c r="G185">
        <v>28000</v>
      </c>
      <c r="H185" t="s">
        <v>13</v>
      </c>
      <c r="I185" s="9">
        <v>28000</v>
      </c>
      <c r="J185" s="9" t="s">
        <v>13</v>
      </c>
      <c r="K185" s="9">
        <v>50</v>
      </c>
      <c r="L185" s="9" t="s">
        <v>82</v>
      </c>
    </row>
    <row r="186" spans="1:12" x14ac:dyDescent="0.35">
      <c r="A186">
        <v>300001</v>
      </c>
      <c r="B186" s="10">
        <v>46128</v>
      </c>
      <c r="C186" s="9">
        <v>4</v>
      </c>
      <c r="D186" s="9">
        <v>345500</v>
      </c>
      <c r="E186" t="s">
        <v>17</v>
      </c>
      <c r="F186" t="s">
        <v>12</v>
      </c>
      <c r="G186">
        <v>500000</v>
      </c>
      <c r="H186" t="s">
        <v>13</v>
      </c>
      <c r="I186" s="9">
        <v>500000</v>
      </c>
      <c r="J186" s="9" t="s">
        <v>13</v>
      </c>
      <c r="K186" s="9">
        <v>40</v>
      </c>
      <c r="L186" s="9" t="s">
        <v>83</v>
      </c>
    </row>
    <row r="187" spans="1:12" x14ac:dyDescent="0.35">
      <c r="A187">
        <v>300001</v>
      </c>
      <c r="B187" s="10">
        <v>46128</v>
      </c>
      <c r="C187" s="9">
        <v>4</v>
      </c>
      <c r="D187" s="9">
        <v>441100</v>
      </c>
      <c r="E187" t="s">
        <v>19</v>
      </c>
      <c r="F187" t="s">
        <v>12</v>
      </c>
      <c r="G187">
        <v>3000000</v>
      </c>
      <c r="H187" t="s">
        <v>13</v>
      </c>
      <c r="I187" s="9">
        <v>3000000</v>
      </c>
      <c r="J187" s="9" t="s">
        <v>13</v>
      </c>
      <c r="K187" s="9">
        <v>50</v>
      </c>
      <c r="L187" s="9" t="s">
        <v>84</v>
      </c>
    </row>
    <row r="188" spans="1:12" x14ac:dyDescent="0.35">
      <c r="A188">
        <v>300001</v>
      </c>
      <c r="B188" s="10">
        <v>46128</v>
      </c>
      <c r="C188" s="9">
        <v>4</v>
      </c>
      <c r="D188" s="9">
        <v>618100</v>
      </c>
      <c r="E188" t="s">
        <v>54</v>
      </c>
      <c r="F188" t="s">
        <v>45</v>
      </c>
      <c r="G188">
        <v>2500000</v>
      </c>
      <c r="H188" t="s">
        <v>13</v>
      </c>
      <c r="I188" s="9">
        <v>2500000</v>
      </c>
      <c r="J188" s="9" t="s">
        <v>13</v>
      </c>
      <c r="K188" s="9">
        <v>40</v>
      </c>
      <c r="L188" s="9" t="s">
        <v>85</v>
      </c>
    </row>
    <row r="189" spans="1:12" x14ac:dyDescent="0.35">
      <c r="A189">
        <v>300002</v>
      </c>
      <c r="B189" s="10">
        <v>46191</v>
      </c>
      <c r="C189" s="9">
        <v>6</v>
      </c>
      <c r="D189" s="9">
        <v>345500</v>
      </c>
      <c r="E189" t="s">
        <v>17</v>
      </c>
      <c r="F189" t="s">
        <v>12</v>
      </c>
      <c r="G189">
        <v>300000</v>
      </c>
      <c r="H189" t="s">
        <v>13</v>
      </c>
      <c r="I189" s="9">
        <v>300000</v>
      </c>
      <c r="J189" s="9" t="s">
        <v>13</v>
      </c>
      <c r="K189" s="9">
        <v>40</v>
      </c>
      <c r="L189" s="9" t="s">
        <v>86</v>
      </c>
    </row>
    <row r="190" spans="1:12" x14ac:dyDescent="0.35">
      <c r="A190">
        <v>300002</v>
      </c>
      <c r="B190" s="10">
        <v>46191</v>
      </c>
      <c r="C190" s="9">
        <v>6</v>
      </c>
      <c r="D190" s="9">
        <v>441100</v>
      </c>
      <c r="E190" t="s">
        <v>19</v>
      </c>
      <c r="F190" t="s">
        <v>12</v>
      </c>
      <c r="G190">
        <v>1800000</v>
      </c>
      <c r="H190" t="s">
        <v>13</v>
      </c>
      <c r="I190" s="9">
        <v>1800000</v>
      </c>
      <c r="J190" s="9" t="s">
        <v>13</v>
      </c>
      <c r="K190" s="9">
        <v>50</v>
      </c>
      <c r="L190" s="9" t="s">
        <v>87</v>
      </c>
    </row>
    <row r="191" spans="1:12" x14ac:dyDescent="0.35">
      <c r="A191">
        <v>300002</v>
      </c>
      <c r="B191" s="10">
        <v>46191</v>
      </c>
      <c r="C191" s="9">
        <v>6</v>
      </c>
      <c r="D191" s="9">
        <v>611100</v>
      </c>
      <c r="E191" t="s">
        <v>21</v>
      </c>
      <c r="F191" t="s">
        <v>22</v>
      </c>
      <c r="G191">
        <v>1500000</v>
      </c>
      <c r="H191" t="s">
        <v>13</v>
      </c>
      <c r="I191" s="9">
        <v>1500000</v>
      </c>
      <c r="J191" s="9" t="s">
        <v>13</v>
      </c>
      <c r="K191" s="9">
        <v>40</v>
      </c>
      <c r="L191" s="9" t="s">
        <v>88</v>
      </c>
    </row>
    <row r="193" spans="7:7" x14ac:dyDescent="0.35">
      <c r="G193">
        <f>COUNTA(A:A)</f>
        <v>191</v>
      </c>
    </row>
    <row r="196" spans="7:7" x14ac:dyDescent="0.35">
      <c r="G196">
        <f>45000*20%</f>
        <v>9000</v>
      </c>
    </row>
  </sheetData>
  <autoFilter ref="I1:I193"/>
  <conditionalFormatting sqref="A1:A1048576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C4:H13"/>
  <sheetViews>
    <sheetView topLeftCell="A3" workbookViewId="0">
      <selection activeCell="D14" sqref="D14"/>
    </sheetView>
  </sheetViews>
  <sheetFormatPr baseColWidth="10" defaultRowHeight="14.5" x14ac:dyDescent="0.35"/>
  <cols>
    <col min="3" max="3" width="12" customWidth="1"/>
    <col min="4" max="4" width="25.453125" customWidth="1"/>
    <col min="5" max="5" width="17.54296875" customWidth="1"/>
    <col min="7" max="7" width="12.36328125" customWidth="1"/>
    <col min="8" max="8" width="19.7265625" customWidth="1"/>
  </cols>
  <sheetData>
    <row r="4" spans="3:8" x14ac:dyDescent="0.35">
      <c r="C4" s="4" t="s">
        <v>117</v>
      </c>
      <c r="D4" s="4" t="s">
        <v>118</v>
      </c>
      <c r="E4" s="4" t="s">
        <v>119</v>
      </c>
      <c r="F4" s="4" t="s">
        <v>120</v>
      </c>
      <c r="G4" s="4" t="s">
        <v>91</v>
      </c>
      <c r="H4" s="4" t="s">
        <v>121</v>
      </c>
    </row>
    <row r="5" spans="3:8" ht="29" x14ac:dyDescent="0.35">
      <c r="C5" s="5" t="s">
        <v>122</v>
      </c>
      <c r="D5" s="5" t="s">
        <v>123</v>
      </c>
      <c r="E5" s="5">
        <v>190</v>
      </c>
      <c r="F5" s="5">
        <f>COUNTA(RAW_ACDOCA!A:A)-1</f>
        <v>190</v>
      </c>
      <c r="G5" s="5" t="s">
        <v>124</v>
      </c>
      <c r="H5" s="5" t="s">
        <v>125</v>
      </c>
    </row>
    <row r="6" spans="3:8" x14ac:dyDescent="0.35">
      <c r="C6" s="5" t="s">
        <v>126</v>
      </c>
      <c r="D6" s="5" t="s">
        <v>127</v>
      </c>
      <c r="E6" s="5">
        <v>12</v>
      </c>
      <c r="F6" s="5">
        <f>COUNTA(RAW_ACDOCA!1:1)</f>
        <v>12</v>
      </c>
      <c r="G6" s="5" t="s">
        <v>124</v>
      </c>
      <c r="H6" s="5" t="s">
        <v>128</v>
      </c>
    </row>
    <row r="7" spans="3:8" ht="29" x14ac:dyDescent="0.35">
      <c r="C7" s="5" t="s">
        <v>129</v>
      </c>
      <c r="D7" s="5" t="s">
        <v>130</v>
      </c>
      <c r="E7" s="6">
        <v>46023</v>
      </c>
      <c r="F7" s="14">
        <v>46024</v>
      </c>
      <c r="G7" s="5" t="s">
        <v>124</v>
      </c>
      <c r="H7" s="11" t="s">
        <v>178</v>
      </c>
    </row>
    <row r="8" spans="3:8" x14ac:dyDescent="0.35">
      <c r="C8" s="5" t="s">
        <v>131</v>
      </c>
      <c r="D8" s="5" t="s">
        <v>132</v>
      </c>
      <c r="E8" s="6">
        <v>46203</v>
      </c>
      <c r="F8" s="14">
        <v>46203</v>
      </c>
      <c r="G8" s="5" t="s">
        <v>124</v>
      </c>
      <c r="H8" s="11" t="s">
        <v>179</v>
      </c>
    </row>
    <row r="9" spans="3:8" ht="29" x14ac:dyDescent="0.35">
      <c r="C9" s="5" t="s">
        <v>133</v>
      </c>
      <c r="D9" s="5" t="s">
        <v>104</v>
      </c>
      <c r="E9" s="5" t="s">
        <v>13</v>
      </c>
      <c r="F9" s="13" t="s">
        <v>13</v>
      </c>
      <c r="G9" s="5" t="s">
        <v>124</v>
      </c>
      <c r="H9" s="11" t="s">
        <v>180</v>
      </c>
    </row>
    <row r="10" spans="3:8" ht="29" x14ac:dyDescent="0.35">
      <c r="C10" s="5" t="s">
        <v>134</v>
      </c>
      <c r="D10" s="5" t="s">
        <v>105</v>
      </c>
      <c r="E10" s="5" t="s">
        <v>135</v>
      </c>
      <c r="F10" s="13" t="s">
        <v>135</v>
      </c>
      <c r="G10" s="5" t="s">
        <v>124</v>
      </c>
      <c r="H10" s="11" t="s">
        <v>181</v>
      </c>
    </row>
    <row r="11" spans="3:8" ht="29" x14ac:dyDescent="0.35">
      <c r="C11" s="5" t="s">
        <v>136</v>
      </c>
      <c r="D11" s="5" t="s">
        <v>137</v>
      </c>
      <c r="E11" s="5" t="s">
        <v>138</v>
      </c>
      <c r="F11" s="13" t="s">
        <v>138</v>
      </c>
      <c r="G11" s="5" t="s">
        <v>124</v>
      </c>
      <c r="H11" s="11" t="s">
        <v>182</v>
      </c>
    </row>
    <row r="12" spans="3:8" ht="29" x14ac:dyDescent="0.35">
      <c r="C12" s="5" t="s">
        <v>139</v>
      </c>
      <c r="D12" s="5" t="s">
        <v>140</v>
      </c>
      <c r="E12" s="5">
        <v>0</v>
      </c>
      <c r="F12" s="13">
        <v>0</v>
      </c>
      <c r="G12" s="5" t="s">
        <v>124</v>
      </c>
      <c r="H12" s="11" t="s">
        <v>183</v>
      </c>
    </row>
    <row r="13" spans="3:8" ht="29" x14ac:dyDescent="0.35">
      <c r="C13" s="5" t="s">
        <v>141</v>
      </c>
      <c r="D13" s="5" t="s">
        <v>142</v>
      </c>
      <c r="E13" s="5" t="s">
        <v>143</v>
      </c>
      <c r="F13" s="13">
        <v>83</v>
      </c>
      <c r="G13" s="5" t="s">
        <v>124</v>
      </c>
      <c r="H13" s="11" t="s">
        <v>184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K16"/>
  <sheetViews>
    <sheetView topLeftCell="B1" workbookViewId="0">
      <selection activeCell="B1" sqref="B1:H1"/>
    </sheetView>
  </sheetViews>
  <sheetFormatPr baseColWidth="10" defaultRowHeight="14.5" x14ac:dyDescent="0.35"/>
  <cols>
    <col min="1" max="1" width="15.54296875" bestFit="1" customWidth="1"/>
    <col min="2" max="2" width="15.453125" customWidth="1"/>
    <col min="3" max="3" width="19.08984375" bestFit="1" customWidth="1"/>
    <col min="4" max="4" width="9.6328125" bestFit="1" customWidth="1"/>
    <col min="5" max="5" width="12.08984375" bestFit="1" customWidth="1"/>
    <col min="6" max="6" width="35.6328125" customWidth="1"/>
    <col min="7" max="7" width="11" bestFit="1" customWidth="1"/>
    <col min="8" max="8" width="10.54296875" bestFit="1" customWidth="1"/>
  </cols>
  <sheetData>
    <row r="1" spans="1:11" ht="25" customHeight="1" x14ac:dyDescent="0.35">
      <c r="A1" s="7" t="s">
        <v>144</v>
      </c>
      <c r="B1" s="20" t="s">
        <v>145</v>
      </c>
      <c r="C1" s="20" t="s">
        <v>146</v>
      </c>
      <c r="D1" s="20" t="s">
        <v>147</v>
      </c>
      <c r="E1" s="20" t="s">
        <v>148</v>
      </c>
      <c r="F1" s="20" t="s">
        <v>149</v>
      </c>
      <c r="G1" s="20" t="s">
        <v>150</v>
      </c>
      <c r="H1" s="20" t="s">
        <v>91</v>
      </c>
    </row>
    <row r="2" spans="1:11" x14ac:dyDescent="0.35">
      <c r="A2" t="s">
        <v>156</v>
      </c>
      <c r="B2" t="s">
        <v>157</v>
      </c>
      <c r="C2">
        <v>100002</v>
      </c>
      <c r="D2">
        <v>6</v>
      </c>
      <c r="E2" t="s">
        <v>158</v>
      </c>
      <c r="F2" t="s">
        <v>159</v>
      </c>
      <c r="G2" t="s">
        <v>160</v>
      </c>
      <c r="H2" t="s">
        <v>161</v>
      </c>
    </row>
    <row r="3" spans="1:11" x14ac:dyDescent="0.35">
      <c r="A3" t="s">
        <v>162</v>
      </c>
      <c r="B3" t="s">
        <v>157</v>
      </c>
      <c r="C3">
        <v>100010</v>
      </c>
      <c r="D3">
        <v>24</v>
      </c>
      <c r="E3" t="s">
        <v>158</v>
      </c>
      <c r="F3" t="s">
        <v>159</v>
      </c>
      <c r="G3" t="s">
        <v>160</v>
      </c>
      <c r="H3" t="s">
        <v>161</v>
      </c>
    </row>
    <row r="4" spans="1:11" x14ac:dyDescent="0.35">
      <c r="A4" t="s">
        <v>163</v>
      </c>
      <c r="B4" t="s">
        <v>167</v>
      </c>
      <c r="C4">
        <v>200001</v>
      </c>
      <c r="E4" s="11" t="s">
        <v>169</v>
      </c>
      <c r="F4" s="11" t="s">
        <v>172</v>
      </c>
      <c r="G4" s="11" t="s">
        <v>170</v>
      </c>
      <c r="H4" s="11" t="s">
        <v>171</v>
      </c>
    </row>
    <row r="5" spans="1:11" x14ac:dyDescent="0.35">
      <c r="A5" t="s">
        <v>164</v>
      </c>
      <c r="B5" t="s">
        <v>167</v>
      </c>
      <c r="C5">
        <v>200002</v>
      </c>
      <c r="E5" s="11" t="s">
        <v>169</v>
      </c>
      <c r="F5" s="11" t="s">
        <v>172</v>
      </c>
      <c r="G5" s="11" t="s">
        <v>170</v>
      </c>
      <c r="H5" s="11" t="s">
        <v>171</v>
      </c>
    </row>
    <row r="6" spans="1:11" x14ac:dyDescent="0.35">
      <c r="A6" t="s">
        <v>165</v>
      </c>
      <c r="B6" t="s">
        <v>168</v>
      </c>
      <c r="C6" s="11">
        <v>300001</v>
      </c>
      <c r="D6">
        <v>188</v>
      </c>
      <c r="E6" s="11" t="s">
        <v>169</v>
      </c>
      <c r="F6" s="11" t="s">
        <v>173</v>
      </c>
      <c r="G6" s="11" t="s">
        <v>170</v>
      </c>
      <c r="H6" s="11" t="s">
        <v>171</v>
      </c>
    </row>
    <row r="7" spans="1:11" x14ac:dyDescent="0.35">
      <c r="A7" t="s">
        <v>166</v>
      </c>
      <c r="B7" t="s">
        <v>168</v>
      </c>
      <c r="C7" s="11">
        <v>300002</v>
      </c>
      <c r="D7">
        <v>191</v>
      </c>
      <c r="E7" s="11" t="s">
        <v>169</v>
      </c>
      <c r="F7" s="11" t="s">
        <v>173</v>
      </c>
      <c r="G7" s="11" t="s">
        <v>170</v>
      </c>
      <c r="H7" s="11" t="s">
        <v>171</v>
      </c>
    </row>
    <row r="12" spans="1:11" x14ac:dyDescent="0.35">
      <c r="C12" s="11"/>
      <c r="D12" s="11"/>
      <c r="E12" s="11"/>
      <c r="F12" s="11"/>
      <c r="G12" s="11"/>
      <c r="H12" s="11"/>
    </row>
    <row r="13" spans="1:11" x14ac:dyDescent="0.35">
      <c r="C13" s="11"/>
      <c r="D13" s="11"/>
      <c r="E13" s="11"/>
      <c r="F13" s="11"/>
      <c r="G13" s="11"/>
      <c r="H13" s="11"/>
      <c r="I13" s="11"/>
      <c r="J13" s="11"/>
      <c r="K13" s="11"/>
    </row>
    <row r="14" spans="1:11" x14ac:dyDescent="0.35">
      <c r="D14" s="11"/>
      <c r="E14" s="11"/>
      <c r="F14" s="11"/>
      <c r="G14" s="11"/>
      <c r="H14" s="11"/>
      <c r="I14" s="11"/>
      <c r="J14" s="11"/>
      <c r="K14" s="11"/>
    </row>
    <row r="15" spans="1:11" x14ac:dyDescent="0.35">
      <c r="D15" s="11"/>
      <c r="E15" s="11"/>
      <c r="F15" s="11"/>
      <c r="G15" s="11"/>
      <c r="H15" s="11"/>
      <c r="I15" s="11"/>
      <c r="J15" s="11"/>
      <c r="K15" s="11"/>
    </row>
    <row r="16" spans="1:11" x14ac:dyDescent="0.35">
      <c r="D16" s="11"/>
      <c r="E16" s="11"/>
      <c r="F16" s="11"/>
      <c r="G16" s="11"/>
      <c r="H16" s="11"/>
      <c r="I16" s="11"/>
      <c r="J16" s="11"/>
      <c r="K16" s="11"/>
    </row>
  </sheetData>
  <autoFilter ref="A1:H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84"/>
  <sheetViews>
    <sheetView workbookViewId="0">
      <selection sqref="A1:E1"/>
    </sheetView>
  </sheetViews>
  <sheetFormatPr baseColWidth="10" defaultRowHeight="14.5" x14ac:dyDescent="0.35"/>
  <cols>
    <col min="1" max="1" width="19.08984375" bestFit="1" customWidth="1"/>
    <col min="2" max="2" width="20.453125" style="8" bestFit="1" customWidth="1"/>
    <col min="3" max="3" width="21" style="8" bestFit="1" customWidth="1"/>
    <col min="4" max="4" width="14" style="8" bestFit="1" customWidth="1"/>
    <col min="5" max="5" width="10.6328125" bestFit="1" customWidth="1"/>
  </cols>
  <sheetData>
    <row r="1" spans="1:5" x14ac:dyDescent="0.35">
      <c r="A1" s="20" t="s">
        <v>146</v>
      </c>
      <c r="B1" s="21" t="s">
        <v>151</v>
      </c>
      <c r="C1" s="21" t="s">
        <v>152</v>
      </c>
      <c r="D1" s="21" t="s">
        <v>153</v>
      </c>
      <c r="E1" s="20" t="s">
        <v>154</v>
      </c>
    </row>
    <row r="2" spans="1:5" x14ac:dyDescent="0.35">
      <c r="A2">
        <f>RAW_ACDOCA!A3</f>
        <v>100001</v>
      </c>
      <c r="B2" s="8">
        <f>SUMIFS(RAW_ACDOCA!$I:$I,RAW_ACDOCA!$A:$A,A2,RAW_ACDOCA!$K:$K,40)</f>
        <v>500000</v>
      </c>
      <c r="C2" s="8">
        <f>SUMIFS(RAW_ACDOCA!$I:$I,RAW_ACDOCA!$A:$A,A2,RAW_ACDOCA!$K:$K,50)</f>
        <v>500000</v>
      </c>
      <c r="D2" s="8">
        <f t="shared" ref="D2:D28" si="0">B2-C2</f>
        <v>0</v>
      </c>
      <c r="E2" t="str">
        <f t="shared" ref="E2:E28" si="1">IF(ABS(D2)&lt;0.01,"BALANCED","UNBALANCED")</f>
        <v>BALANCED</v>
      </c>
    </row>
    <row r="3" spans="1:5" x14ac:dyDescent="0.35">
      <c r="A3">
        <f>RAW_ACDOCA!A6</f>
        <v>100002</v>
      </c>
      <c r="B3" s="8">
        <f>SUMIFS(RAW_ACDOCA!$I:$I,RAW_ACDOCA!$A:$A,A3,RAW_ACDOCA!$K:$K,40)</f>
        <v>62400</v>
      </c>
      <c r="C3" s="8">
        <f>SUMIFS(RAW_ACDOCA!$I:$I,RAW_ACDOCA!$A:$A,A3,RAW_ACDOCA!$K:$K,50)</f>
        <v>124800</v>
      </c>
      <c r="D3" s="8">
        <f t="shared" si="0"/>
        <v>-62400</v>
      </c>
      <c r="E3" t="str">
        <f t="shared" si="1"/>
        <v>UNBALANCED</v>
      </c>
    </row>
    <row r="4" spans="1:5" x14ac:dyDescent="0.35">
      <c r="A4">
        <f>RAW_ACDOCA!A10</f>
        <v>100003</v>
      </c>
      <c r="B4" s="8">
        <f>SUMIFS(RAW_ACDOCA!$I:$I,RAW_ACDOCA!$A:$A,A4,RAW_ACDOCA!$K:$K,40)</f>
        <v>41664</v>
      </c>
      <c r="C4" s="8">
        <f>SUMIFS(RAW_ACDOCA!$I:$I,RAW_ACDOCA!$A:$A,A4,RAW_ACDOCA!$K:$K,50)</f>
        <v>41664</v>
      </c>
      <c r="D4" s="8">
        <f t="shared" si="0"/>
        <v>0</v>
      </c>
      <c r="E4" t="str">
        <f t="shared" si="1"/>
        <v>BALANCED</v>
      </c>
    </row>
    <row r="5" spans="1:5" x14ac:dyDescent="0.35">
      <c r="A5">
        <f>RAW_ACDOCA!A13</f>
        <v>100004</v>
      </c>
      <c r="B5" s="8">
        <f>SUMIFS(RAW_ACDOCA!$I:$I,RAW_ACDOCA!$A:$A,A5,RAW_ACDOCA!$K:$K,40)</f>
        <v>102000</v>
      </c>
      <c r="C5" s="8">
        <f>SUMIFS(RAW_ACDOCA!$I:$I,RAW_ACDOCA!$A:$A,A5,RAW_ACDOCA!$K:$K,50)</f>
        <v>102000</v>
      </c>
      <c r="D5" s="8">
        <f t="shared" si="0"/>
        <v>0</v>
      </c>
      <c r="E5" t="str">
        <f t="shared" si="1"/>
        <v>BALANCED</v>
      </c>
    </row>
    <row r="6" spans="1:5" x14ac:dyDescent="0.35">
      <c r="A6">
        <f>RAW_ACDOCA!A14</f>
        <v>100005</v>
      </c>
      <c r="B6" s="8">
        <f>SUMIFS(RAW_ACDOCA!$I:$I,RAW_ACDOCA!$A:$A,A6,RAW_ACDOCA!$K:$K,40)</f>
        <v>41790</v>
      </c>
      <c r="C6" s="8">
        <f>SUMIFS(RAW_ACDOCA!$I:$I,RAW_ACDOCA!$A:$A,A6,RAW_ACDOCA!$K:$K,50)</f>
        <v>41790</v>
      </c>
      <c r="D6" s="8">
        <f t="shared" si="0"/>
        <v>0</v>
      </c>
      <c r="E6" t="str">
        <f t="shared" si="1"/>
        <v>BALANCED</v>
      </c>
    </row>
    <row r="7" spans="1:5" x14ac:dyDescent="0.35">
      <c r="A7">
        <f>RAW_ACDOCA!A17</f>
        <v>100006</v>
      </c>
      <c r="B7" s="8">
        <f>SUMIFS(RAW_ACDOCA!$I:$I,RAW_ACDOCA!$A:$A,A7,RAW_ACDOCA!$K:$K,40)</f>
        <v>72000</v>
      </c>
      <c r="C7" s="8">
        <f>SUMIFS(RAW_ACDOCA!$I:$I,RAW_ACDOCA!$A:$A,A7,RAW_ACDOCA!$K:$K,50)</f>
        <v>72000</v>
      </c>
      <c r="D7" s="8">
        <f t="shared" si="0"/>
        <v>0</v>
      </c>
      <c r="E7" t="str">
        <f t="shared" si="1"/>
        <v>BALANCED</v>
      </c>
    </row>
    <row r="8" spans="1:5" x14ac:dyDescent="0.35">
      <c r="A8">
        <f>RAW_ACDOCA!A19</f>
        <v>100007</v>
      </c>
      <c r="B8" s="8">
        <f>SUMIFS(RAW_ACDOCA!$I:$I,RAW_ACDOCA!$A:$A,A8,RAW_ACDOCA!$K:$K,40)</f>
        <v>42000</v>
      </c>
      <c r="C8" s="8">
        <f>SUMIFS(RAW_ACDOCA!$I:$I,RAW_ACDOCA!$A:$A,A8,RAW_ACDOCA!$K:$K,50)</f>
        <v>42000</v>
      </c>
      <c r="D8" s="8">
        <f t="shared" si="0"/>
        <v>0</v>
      </c>
      <c r="E8" t="str">
        <f t="shared" si="1"/>
        <v>BALANCED</v>
      </c>
    </row>
    <row r="9" spans="1:5" x14ac:dyDescent="0.35">
      <c r="A9">
        <f>RAW_ACDOCA!A21</f>
        <v>100008</v>
      </c>
      <c r="B9" s="8">
        <f>SUMIFS(RAW_ACDOCA!$I:$I,RAW_ACDOCA!$A:$A,A9,RAW_ACDOCA!$K:$K,40)</f>
        <v>36000</v>
      </c>
      <c r="C9" s="8">
        <f>SUMIFS(RAW_ACDOCA!$I:$I,RAW_ACDOCA!$A:$A,A9,RAW_ACDOCA!$K:$K,50)</f>
        <v>36000</v>
      </c>
      <c r="D9" s="8">
        <f t="shared" si="0"/>
        <v>0</v>
      </c>
      <c r="E9" t="str">
        <f t="shared" si="1"/>
        <v>BALANCED</v>
      </c>
    </row>
    <row r="10" spans="1:5" x14ac:dyDescent="0.35">
      <c r="A10">
        <f>RAW_ACDOCA!A22</f>
        <v>100009</v>
      </c>
      <c r="B10" s="8">
        <f>SUMIFS(RAW_ACDOCA!$I:$I,RAW_ACDOCA!$A:$A,A10,RAW_ACDOCA!$K:$K,40)</f>
        <v>9500</v>
      </c>
      <c r="C10" s="8">
        <f>SUMIFS(RAW_ACDOCA!$I:$I,RAW_ACDOCA!$A:$A,A10,RAW_ACDOCA!$K:$K,50)</f>
        <v>9500</v>
      </c>
      <c r="D10" s="8">
        <f t="shared" si="0"/>
        <v>0</v>
      </c>
      <c r="E10" t="str">
        <f t="shared" si="1"/>
        <v>BALANCED</v>
      </c>
    </row>
    <row r="11" spans="1:5" x14ac:dyDescent="0.35">
      <c r="A11">
        <f>RAW_ACDOCA!A24</f>
        <v>100010</v>
      </c>
      <c r="B11" s="8">
        <f>SUMIFS(RAW_ACDOCA!$I:$I,RAW_ACDOCA!$A:$A,A11,RAW_ACDOCA!$K:$K,40)</f>
        <v>6200</v>
      </c>
      <c r="C11" s="8">
        <f>SUMIFS(RAW_ACDOCA!$I:$I,RAW_ACDOCA!$A:$A,A11,RAW_ACDOCA!$K:$K,50)</f>
        <v>12400</v>
      </c>
      <c r="D11" s="8">
        <f t="shared" si="0"/>
        <v>-6200</v>
      </c>
      <c r="E11" t="str">
        <f t="shared" si="1"/>
        <v>UNBALANCED</v>
      </c>
    </row>
    <row r="12" spans="1:5" x14ac:dyDescent="0.35">
      <c r="A12">
        <f>RAW_ACDOCA!A28</f>
        <v>100011</v>
      </c>
      <c r="B12" s="8">
        <f>SUMIFS(RAW_ACDOCA!$I:$I,RAW_ACDOCA!$A:$A,A12,RAW_ACDOCA!$K:$K,40)</f>
        <v>4500</v>
      </c>
      <c r="C12" s="8">
        <f>SUMIFS(RAW_ACDOCA!$I:$I,RAW_ACDOCA!$A:$A,A12,RAW_ACDOCA!$K:$K,50)</f>
        <v>4500</v>
      </c>
      <c r="D12" s="8">
        <f t="shared" si="0"/>
        <v>0</v>
      </c>
      <c r="E12" t="str">
        <f t="shared" si="1"/>
        <v>BALANCED</v>
      </c>
    </row>
    <row r="13" spans="1:5" x14ac:dyDescent="0.35">
      <c r="A13">
        <f>RAW_ACDOCA!A29</f>
        <v>100012</v>
      </c>
      <c r="B13" s="8">
        <f>SUMIFS(RAW_ACDOCA!$I:$I,RAW_ACDOCA!$A:$A,A13,RAW_ACDOCA!$K:$K,40)</f>
        <v>7000</v>
      </c>
      <c r="C13" s="8">
        <f>SUMIFS(RAW_ACDOCA!$I:$I,RAW_ACDOCA!$A:$A,A13,RAW_ACDOCA!$K:$K,50)</f>
        <v>7000</v>
      </c>
      <c r="D13" s="8">
        <f t="shared" si="0"/>
        <v>0</v>
      </c>
      <c r="E13" t="str">
        <f t="shared" si="1"/>
        <v>BALANCED</v>
      </c>
    </row>
    <row r="14" spans="1:5" x14ac:dyDescent="0.35">
      <c r="A14">
        <f>RAW_ACDOCA!A32</f>
        <v>100013</v>
      </c>
      <c r="B14" s="8">
        <f>SUMIFS(RAW_ACDOCA!$I:$I,RAW_ACDOCA!$A:$A,A14,RAW_ACDOCA!$K:$K,40)</f>
        <v>6500</v>
      </c>
      <c r="C14" s="8">
        <f>SUMIFS(RAW_ACDOCA!$I:$I,RAW_ACDOCA!$A:$A,A14,RAW_ACDOCA!$K:$K,50)</f>
        <v>6500</v>
      </c>
      <c r="D14" s="8">
        <f t="shared" si="0"/>
        <v>0</v>
      </c>
      <c r="E14" t="str">
        <f t="shared" si="1"/>
        <v>BALANCED</v>
      </c>
    </row>
    <row r="15" spans="1:5" x14ac:dyDescent="0.35">
      <c r="A15">
        <f>RAW_ACDOCA!A35</f>
        <v>100014</v>
      </c>
      <c r="B15" s="8">
        <f>SUMIFS(RAW_ACDOCA!$I:$I,RAW_ACDOCA!$A:$A,A15,RAW_ACDOCA!$K:$K,40)</f>
        <v>81600</v>
      </c>
      <c r="C15" s="8">
        <f>SUMIFS(RAW_ACDOCA!$I:$I,RAW_ACDOCA!$A:$A,A15,RAW_ACDOCA!$K:$K,50)</f>
        <v>81600</v>
      </c>
      <c r="D15" s="8">
        <f t="shared" si="0"/>
        <v>0</v>
      </c>
      <c r="E15" t="str">
        <f t="shared" si="1"/>
        <v>BALANCED</v>
      </c>
    </row>
    <row r="16" spans="1:5" x14ac:dyDescent="0.35">
      <c r="A16">
        <f>RAW_ACDOCA!A38</f>
        <v>100015</v>
      </c>
      <c r="B16" s="8">
        <f>SUMIFS(RAW_ACDOCA!$I:$I,RAW_ACDOCA!$A:$A,A16,RAW_ACDOCA!$K:$K,40)</f>
        <v>52742.400000000001</v>
      </c>
      <c r="C16" s="8">
        <f>SUMIFS(RAW_ACDOCA!$I:$I,RAW_ACDOCA!$A:$A,A16,RAW_ACDOCA!$K:$K,50)</f>
        <v>52742.400000000001</v>
      </c>
      <c r="D16" s="8">
        <f t="shared" si="0"/>
        <v>0</v>
      </c>
      <c r="E16" t="str">
        <f t="shared" si="1"/>
        <v>BALANCED</v>
      </c>
    </row>
    <row r="17" spans="1:5" x14ac:dyDescent="0.35">
      <c r="A17">
        <f>RAW_ACDOCA!A39</f>
        <v>100016</v>
      </c>
      <c r="B17" s="8">
        <f>SUMIFS(RAW_ACDOCA!$I:$I,RAW_ACDOCA!$A:$A,A17,RAW_ACDOCA!$K:$K,40)</f>
        <v>110400</v>
      </c>
      <c r="C17" s="8">
        <f>SUMIFS(RAW_ACDOCA!$I:$I,RAW_ACDOCA!$A:$A,A17,RAW_ACDOCA!$K:$K,50)</f>
        <v>110400</v>
      </c>
      <c r="D17" s="8">
        <f t="shared" si="0"/>
        <v>0</v>
      </c>
      <c r="E17" t="str">
        <f t="shared" si="1"/>
        <v>BALANCED</v>
      </c>
    </row>
    <row r="18" spans="1:5" x14ac:dyDescent="0.35">
      <c r="A18">
        <f>RAW_ACDOCA!A43</f>
        <v>100017</v>
      </c>
      <c r="B18" s="8">
        <f>SUMIFS(RAW_ACDOCA!$I:$I,RAW_ACDOCA!$A:$A,A18,RAW_ACDOCA!$K:$K,40)</f>
        <v>50082</v>
      </c>
      <c r="C18" s="8">
        <f>SUMIFS(RAW_ACDOCA!$I:$I,RAW_ACDOCA!$A:$A,A18,RAW_ACDOCA!$K:$K,50)</f>
        <v>50082</v>
      </c>
      <c r="D18" s="8">
        <f t="shared" si="0"/>
        <v>0</v>
      </c>
      <c r="E18" t="str">
        <f t="shared" si="1"/>
        <v>BALANCED</v>
      </c>
    </row>
    <row r="19" spans="1:5" x14ac:dyDescent="0.35">
      <c r="A19">
        <f>RAW_ACDOCA!A44</f>
        <v>100018</v>
      </c>
      <c r="B19" s="8">
        <f>SUMIFS(RAW_ACDOCA!$I:$I,RAW_ACDOCA!$A:$A,A19,RAW_ACDOCA!$K:$K,40)</f>
        <v>80000</v>
      </c>
      <c r="C19" s="8">
        <f>SUMIFS(RAW_ACDOCA!$I:$I,RAW_ACDOCA!$A:$A,A19,RAW_ACDOCA!$K:$K,50)</f>
        <v>80000</v>
      </c>
      <c r="D19" s="8">
        <f t="shared" si="0"/>
        <v>0</v>
      </c>
      <c r="E19" t="str">
        <f t="shared" si="1"/>
        <v>BALANCED</v>
      </c>
    </row>
    <row r="20" spans="1:5" x14ac:dyDescent="0.35">
      <c r="A20">
        <f>RAW_ACDOCA!A47</f>
        <v>100019</v>
      </c>
      <c r="B20" s="8">
        <f>SUMIFS(RAW_ACDOCA!$I:$I,RAW_ACDOCA!$A:$A,A20,RAW_ACDOCA!$K:$K,40)</f>
        <v>56000</v>
      </c>
      <c r="C20" s="8">
        <f>SUMIFS(RAW_ACDOCA!$I:$I,RAW_ACDOCA!$A:$A,A20,RAW_ACDOCA!$K:$K,50)</f>
        <v>56000</v>
      </c>
      <c r="D20" s="8">
        <f t="shared" si="0"/>
        <v>0</v>
      </c>
      <c r="E20" t="str">
        <f t="shared" si="1"/>
        <v>BALANCED</v>
      </c>
    </row>
    <row r="21" spans="1:5" x14ac:dyDescent="0.35">
      <c r="A21">
        <f>RAW_ACDOCA!A48</f>
        <v>100020</v>
      </c>
      <c r="B21" s="8">
        <f>SUMIFS(RAW_ACDOCA!$I:$I,RAW_ACDOCA!$A:$A,A21,RAW_ACDOCA!$K:$K,40)</f>
        <v>36500</v>
      </c>
      <c r="C21" s="8">
        <f>SUMIFS(RAW_ACDOCA!$I:$I,RAW_ACDOCA!$A:$A,A21,RAW_ACDOCA!$K:$K,50)</f>
        <v>36500</v>
      </c>
      <c r="D21" s="8">
        <f t="shared" si="0"/>
        <v>0</v>
      </c>
      <c r="E21" t="str">
        <f t="shared" si="1"/>
        <v>BALANCED</v>
      </c>
    </row>
    <row r="22" spans="1:5" x14ac:dyDescent="0.35">
      <c r="A22">
        <f>RAW_ACDOCA!A51</f>
        <v>100021</v>
      </c>
      <c r="B22" s="8">
        <f>SUMIFS(RAW_ACDOCA!$I:$I,RAW_ACDOCA!$A:$A,A22,RAW_ACDOCA!$K:$K,40)</f>
        <v>9500</v>
      </c>
      <c r="C22" s="8">
        <f>SUMIFS(RAW_ACDOCA!$I:$I,RAW_ACDOCA!$A:$A,A22,RAW_ACDOCA!$K:$K,50)</f>
        <v>9500</v>
      </c>
      <c r="D22" s="8">
        <f t="shared" si="0"/>
        <v>0</v>
      </c>
      <c r="E22" t="str">
        <f t="shared" si="1"/>
        <v>BALANCED</v>
      </c>
    </row>
    <row r="23" spans="1:5" x14ac:dyDescent="0.35">
      <c r="A23">
        <f>RAW_ACDOCA!A52</f>
        <v>100022</v>
      </c>
      <c r="B23" s="8">
        <f>SUMIFS(RAW_ACDOCA!$I:$I,RAW_ACDOCA!$A:$A,A23,RAW_ACDOCA!$K:$K,40)</f>
        <v>7100</v>
      </c>
      <c r="C23" s="8">
        <f>SUMIFS(RAW_ACDOCA!$I:$I,RAW_ACDOCA!$A:$A,A23,RAW_ACDOCA!$K:$K,50)</f>
        <v>7100</v>
      </c>
      <c r="D23" s="8">
        <f t="shared" si="0"/>
        <v>0</v>
      </c>
      <c r="E23" t="str">
        <f t="shared" si="1"/>
        <v>BALANCED</v>
      </c>
    </row>
    <row r="24" spans="1:5" x14ac:dyDescent="0.35">
      <c r="A24">
        <f>RAW_ACDOCA!A55</f>
        <v>100023</v>
      </c>
      <c r="B24" s="8">
        <f>SUMIFS(RAW_ACDOCA!$I:$I,RAW_ACDOCA!$A:$A,A24,RAW_ACDOCA!$K:$K,40)</f>
        <v>5200</v>
      </c>
      <c r="C24" s="8">
        <f>SUMIFS(RAW_ACDOCA!$I:$I,RAW_ACDOCA!$A:$A,A24,RAW_ACDOCA!$K:$K,50)</f>
        <v>5200</v>
      </c>
      <c r="D24" s="8">
        <f t="shared" si="0"/>
        <v>0</v>
      </c>
      <c r="E24" t="str">
        <f t="shared" si="1"/>
        <v>BALANCED</v>
      </c>
    </row>
    <row r="25" spans="1:5" x14ac:dyDescent="0.35">
      <c r="A25">
        <f>RAW_ACDOCA!A56</f>
        <v>100024</v>
      </c>
      <c r="B25" s="8">
        <f>SUMIFS(RAW_ACDOCA!$I:$I,RAW_ACDOCA!$A:$A,A25,RAW_ACDOCA!$K:$K,40)</f>
        <v>9000</v>
      </c>
      <c r="C25" s="8">
        <f>SUMIFS(RAW_ACDOCA!$I:$I,RAW_ACDOCA!$A:$A,A25,RAW_ACDOCA!$K:$K,50)</f>
        <v>9000</v>
      </c>
      <c r="D25" s="8">
        <f t="shared" si="0"/>
        <v>0</v>
      </c>
      <c r="E25" t="str">
        <f t="shared" si="1"/>
        <v>BALANCED</v>
      </c>
    </row>
    <row r="26" spans="1:5" x14ac:dyDescent="0.35">
      <c r="A26">
        <f>RAW_ACDOCA!A59</f>
        <v>100025</v>
      </c>
      <c r="B26" s="8">
        <f>SUMIFS(RAW_ACDOCA!$I:$I,RAW_ACDOCA!$A:$A,A26,RAW_ACDOCA!$K:$K,40)</f>
        <v>6500</v>
      </c>
      <c r="C26" s="8">
        <f>SUMIFS(RAW_ACDOCA!$I:$I,RAW_ACDOCA!$A:$A,A26,RAW_ACDOCA!$K:$K,50)</f>
        <v>6500</v>
      </c>
      <c r="D26" s="8">
        <f t="shared" si="0"/>
        <v>0</v>
      </c>
      <c r="E26" t="str">
        <f t="shared" si="1"/>
        <v>BALANCED</v>
      </c>
    </row>
    <row r="27" spans="1:5" x14ac:dyDescent="0.35">
      <c r="A27">
        <f>RAW_ACDOCA!A62</f>
        <v>100026</v>
      </c>
      <c r="B27" s="8">
        <f>SUMIFS(RAW_ACDOCA!$I:$I,RAW_ACDOCA!$A:$A,A27,RAW_ACDOCA!$K:$K,40)</f>
        <v>57000</v>
      </c>
      <c r="C27" s="8">
        <f>SUMIFS(RAW_ACDOCA!$I:$I,RAW_ACDOCA!$A:$A,A27,RAW_ACDOCA!$K:$K,50)</f>
        <v>57000</v>
      </c>
      <c r="D27" s="8">
        <f t="shared" si="0"/>
        <v>0</v>
      </c>
      <c r="E27" t="str">
        <f t="shared" si="1"/>
        <v>BALANCED</v>
      </c>
    </row>
    <row r="28" spans="1:5" x14ac:dyDescent="0.35">
      <c r="A28">
        <f>RAW_ACDOCA!A63</f>
        <v>100027</v>
      </c>
      <c r="B28" s="8">
        <f>SUMIFS(RAW_ACDOCA!$I:$I,RAW_ACDOCA!$A:$A,A28,RAW_ACDOCA!$K:$K,40)</f>
        <v>36657.599999999999</v>
      </c>
      <c r="C28" s="8">
        <f>SUMIFS(RAW_ACDOCA!$I:$I,RAW_ACDOCA!$A:$A,A28,RAW_ACDOCA!$K:$K,50)</f>
        <v>36657.599999999999</v>
      </c>
      <c r="D28" s="8">
        <f t="shared" si="0"/>
        <v>0</v>
      </c>
      <c r="E28" t="str">
        <f t="shared" si="1"/>
        <v>BALANCED</v>
      </c>
    </row>
    <row r="29" spans="1:5" x14ac:dyDescent="0.35">
      <c r="A29">
        <f>RAW_ACDOCA!A67</f>
        <v>100028</v>
      </c>
      <c r="B29" s="8">
        <f>SUMIFS(RAW_ACDOCA!$I:$I,RAW_ACDOCA!$A:$A,A29,RAW_ACDOCA!$K:$K,40)</f>
        <v>126000</v>
      </c>
      <c r="C29" s="8">
        <f>SUMIFS(RAW_ACDOCA!$I:$I,RAW_ACDOCA!$A:$A,A29,RAW_ACDOCA!$K:$K,50)</f>
        <v>126000</v>
      </c>
      <c r="D29" s="8">
        <f t="shared" ref="D29:D57" si="2">B29-C29</f>
        <v>0</v>
      </c>
      <c r="E29" t="str">
        <f t="shared" ref="E29:E57" si="3">IF(ABS(D29)&lt;0.01,"BALANCED","UNBALANCED")</f>
        <v>BALANCED</v>
      </c>
    </row>
    <row r="30" spans="1:5" x14ac:dyDescent="0.35">
      <c r="A30">
        <f>RAW_ACDOCA!A70</f>
        <v>100029</v>
      </c>
      <c r="B30" s="8">
        <f>SUMIFS(RAW_ACDOCA!$I:$I,RAW_ACDOCA!$A:$A,A30,RAW_ACDOCA!$K:$K,40)</f>
        <v>39195</v>
      </c>
      <c r="C30" s="8">
        <f>SUMIFS(RAW_ACDOCA!$I:$I,RAW_ACDOCA!$A:$A,A30,RAW_ACDOCA!$K:$K,50)</f>
        <v>39195</v>
      </c>
      <c r="D30" s="8">
        <f t="shared" si="2"/>
        <v>0</v>
      </c>
      <c r="E30" t="str">
        <f t="shared" si="3"/>
        <v>BALANCED</v>
      </c>
    </row>
    <row r="31" spans="1:5" x14ac:dyDescent="0.35">
      <c r="A31">
        <f>RAW_ACDOCA!A71</f>
        <v>100030</v>
      </c>
      <c r="B31" s="8">
        <f>SUMIFS(RAW_ACDOCA!$I:$I,RAW_ACDOCA!$A:$A,A31,RAW_ACDOCA!$K:$K,40)</f>
        <v>95000</v>
      </c>
      <c r="C31" s="8">
        <f>SUMIFS(RAW_ACDOCA!$I:$I,RAW_ACDOCA!$A:$A,A31,RAW_ACDOCA!$K:$K,50)</f>
        <v>95000</v>
      </c>
      <c r="D31" s="8">
        <f t="shared" si="2"/>
        <v>0</v>
      </c>
      <c r="E31" t="str">
        <f t="shared" si="3"/>
        <v>BALANCED</v>
      </c>
    </row>
    <row r="32" spans="1:5" x14ac:dyDescent="0.35">
      <c r="A32">
        <f>RAW_ACDOCA!A74</f>
        <v>100031</v>
      </c>
      <c r="B32" s="8">
        <f>SUMIFS(RAW_ACDOCA!$I:$I,RAW_ACDOCA!$A:$A,A32,RAW_ACDOCA!$K:$K,40)</f>
        <v>39000</v>
      </c>
      <c r="C32" s="8">
        <f>SUMIFS(RAW_ACDOCA!$I:$I,RAW_ACDOCA!$A:$A,A32,RAW_ACDOCA!$K:$K,50)</f>
        <v>39000</v>
      </c>
      <c r="D32" s="8">
        <f t="shared" si="2"/>
        <v>0</v>
      </c>
      <c r="E32" t="str">
        <f t="shared" si="3"/>
        <v>BALANCED</v>
      </c>
    </row>
    <row r="33" spans="1:5" x14ac:dyDescent="0.35">
      <c r="A33">
        <f>RAW_ACDOCA!A75</f>
        <v>100032</v>
      </c>
      <c r="B33" s="8">
        <f>SUMIFS(RAW_ACDOCA!$I:$I,RAW_ACDOCA!$A:$A,A33,RAW_ACDOCA!$K:$K,40)</f>
        <v>37200</v>
      </c>
      <c r="C33" s="8">
        <f>SUMIFS(RAW_ACDOCA!$I:$I,RAW_ACDOCA!$A:$A,A33,RAW_ACDOCA!$K:$K,50)</f>
        <v>37200</v>
      </c>
      <c r="D33" s="8">
        <f t="shared" si="2"/>
        <v>0</v>
      </c>
      <c r="E33" t="str">
        <f t="shared" si="3"/>
        <v>BALANCED</v>
      </c>
    </row>
    <row r="34" spans="1:5" x14ac:dyDescent="0.35">
      <c r="A34">
        <f>RAW_ACDOCA!A78</f>
        <v>100033</v>
      </c>
      <c r="B34" s="8">
        <f>SUMIFS(RAW_ACDOCA!$I:$I,RAW_ACDOCA!$A:$A,A34,RAW_ACDOCA!$K:$K,40)</f>
        <v>9800</v>
      </c>
      <c r="C34" s="8">
        <f>SUMIFS(RAW_ACDOCA!$I:$I,RAW_ACDOCA!$A:$A,A34,RAW_ACDOCA!$K:$K,50)</f>
        <v>9800</v>
      </c>
      <c r="D34" s="8">
        <f t="shared" si="2"/>
        <v>0</v>
      </c>
      <c r="E34" t="str">
        <f t="shared" si="3"/>
        <v>BALANCED</v>
      </c>
    </row>
    <row r="35" spans="1:5" x14ac:dyDescent="0.35">
      <c r="A35">
        <f>RAW_ACDOCA!A79</f>
        <v>100034</v>
      </c>
      <c r="B35" s="8">
        <f>SUMIFS(RAW_ACDOCA!$I:$I,RAW_ACDOCA!$A:$A,A35,RAW_ACDOCA!$K:$K,40)</f>
        <v>6800</v>
      </c>
      <c r="C35" s="8">
        <f>SUMIFS(RAW_ACDOCA!$I:$I,RAW_ACDOCA!$A:$A,A35,RAW_ACDOCA!$K:$K,50)</f>
        <v>6800</v>
      </c>
      <c r="D35" s="8">
        <f t="shared" si="2"/>
        <v>0</v>
      </c>
      <c r="E35" t="str">
        <f t="shared" si="3"/>
        <v>BALANCED</v>
      </c>
    </row>
    <row r="36" spans="1:5" x14ac:dyDescent="0.35">
      <c r="A36">
        <f>RAW_ACDOCA!A82</f>
        <v>100035</v>
      </c>
      <c r="B36" s="8">
        <f>SUMIFS(RAW_ACDOCA!$I:$I,RAW_ACDOCA!$A:$A,A36,RAW_ACDOCA!$K:$K,40)</f>
        <v>4800</v>
      </c>
      <c r="C36" s="8">
        <f>SUMIFS(RAW_ACDOCA!$I:$I,RAW_ACDOCA!$A:$A,A36,RAW_ACDOCA!$K:$K,50)</f>
        <v>4800</v>
      </c>
      <c r="D36" s="8">
        <f t="shared" si="2"/>
        <v>0</v>
      </c>
      <c r="E36" t="str">
        <f t="shared" si="3"/>
        <v>BALANCED</v>
      </c>
    </row>
    <row r="37" spans="1:5" x14ac:dyDescent="0.35">
      <c r="A37">
        <f>RAW_ACDOCA!A83</f>
        <v>100036</v>
      </c>
      <c r="B37" s="8">
        <f>SUMIFS(RAW_ACDOCA!$I:$I,RAW_ACDOCA!$A:$A,A37,RAW_ACDOCA!$K:$K,40)</f>
        <v>5000</v>
      </c>
      <c r="C37" s="8">
        <f>SUMIFS(RAW_ACDOCA!$I:$I,RAW_ACDOCA!$A:$A,A37,RAW_ACDOCA!$K:$K,50)</f>
        <v>5000</v>
      </c>
      <c r="D37" s="8">
        <f t="shared" si="2"/>
        <v>0</v>
      </c>
      <c r="E37" t="str">
        <f t="shared" si="3"/>
        <v>BALANCED</v>
      </c>
    </row>
    <row r="38" spans="1:5" x14ac:dyDescent="0.35">
      <c r="A38">
        <f>RAW_ACDOCA!A86</f>
        <v>100037</v>
      </c>
      <c r="B38" s="8">
        <f>SUMIFS(RAW_ACDOCA!$I:$I,RAW_ACDOCA!$A:$A,A38,RAW_ACDOCA!$K:$K,40)</f>
        <v>6800</v>
      </c>
      <c r="C38" s="8">
        <f>SUMIFS(RAW_ACDOCA!$I:$I,RAW_ACDOCA!$A:$A,A38,RAW_ACDOCA!$K:$K,50)</f>
        <v>6800</v>
      </c>
      <c r="D38" s="8">
        <f t="shared" si="2"/>
        <v>0</v>
      </c>
      <c r="E38" t="str">
        <f t="shared" si="3"/>
        <v>BALANCED</v>
      </c>
    </row>
    <row r="39" spans="1:5" x14ac:dyDescent="0.35">
      <c r="A39">
        <f>RAW_ACDOCA!A87</f>
        <v>100038</v>
      </c>
      <c r="B39" s="8">
        <f>SUMIFS(RAW_ACDOCA!$I:$I,RAW_ACDOCA!$A:$A,A39,RAW_ACDOCA!$K:$K,40)</f>
        <v>88200</v>
      </c>
      <c r="C39" s="8">
        <f>SUMIFS(RAW_ACDOCA!$I:$I,RAW_ACDOCA!$A:$A,A39,RAW_ACDOCA!$K:$K,50)</f>
        <v>88200</v>
      </c>
      <c r="D39" s="8">
        <f t="shared" si="2"/>
        <v>0</v>
      </c>
      <c r="E39" t="str">
        <f t="shared" si="3"/>
        <v>BALANCED</v>
      </c>
    </row>
    <row r="40" spans="1:5" x14ac:dyDescent="0.35">
      <c r="A40">
        <f>RAW_ACDOCA!A92</f>
        <v>100039</v>
      </c>
      <c r="B40" s="8">
        <f>SUMIFS(RAW_ACDOCA!$I:$I,RAW_ACDOCA!$A:$A,A40,RAW_ACDOCA!$K:$K,40)</f>
        <v>59616</v>
      </c>
      <c r="C40" s="8">
        <f>SUMIFS(RAW_ACDOCA!$I:$I,RAW_ACDOCA!$A:$A,A40,RAW_ACDOCA!$K:$K,50)</f>
        <v>59616</v>
      </c>
      <c r="D40" s="8">
        <f t="shared" si="2"/>
        <v>0</v>
      </c>
      <c r="E40" t="str">
        <f t="shared" si="3"/>
        <v>BALANCED</v>
      </c>
    </row>
    <row r="41" spans="1:5" x14ac:dyDescent="0.35">
      <c r="A41">
        <f>RAW_ACDOCA!A95</f>
        <v>100040</v>
      </c>
      <c r="B41" s="8">
        <f>SUMIFS(RAW_ACDOCA!$I:$I,RAW_ACDOCA!$A:$A,A41,RAW_ACDOCA!$K:$K,40)</f>
        <v>117600</v>
      </c>
      <c r="C41" s="8">
        <f>SUMIFS(RAW_ACDOCA!$I:$I,RAW_ACDOCA!$A:$A,A41,RAW_ACDOCA!$K:$K,50)</f>
        <v>117600</v>
      </c>
      <c r="D41" s="8">
        <f t="shared" si="2"/>
        <v>0</v>
      </c>
      <c r="E41" t="str">
        <f t="shared" si="3"/>
        <v>BALANCED</v>
      </c>
    </row>
    <row r="42" spans="1:5" x14ac:dyDescent="0.35">
      <c r="A42">
        <f>RAW_ACDOCA!A96</f>
        <v>100041</v>
      </c>
      <c r="B42" s="8">
        <f>SUMIFS(RAW_ACDOCA!$I:$I,RAW_ACDOCA!$A:$A,A42,RAW_ACDOCA!$K:$K,40)</f>
        <v>55496</v>
      </c>
      <c r="C42" s="8">
        <f>SUMIFS(RAW_ACDOCA!$I:$I,RAW_ACDOCA!$A:$A,A42,RAW_ACDOCA!$K:$K,50)</f>
        <v>55496</v>
      </c>
      <c r="D42" s="8">
        <f t="shared" si="2"/>
        <v>0</v>
      </c>
      <c r="E42" t="str">
        <f t="shared" si="3"/>
        <v>BALANCED</v>
      </c>
    </row>
    <row r="43" spans="1:5" x14ac:dyDescent="0.35">
      <c r="A43">
        <f>RAW_ACDOCA!A99</f>
        <v>100042</v>
      </c>
      <c r="B43" s="8">
        <f>SUMIFS(RAW_ACDOCA!$I:$I,RAW_ACDOCA!$A:$A,A43,RAW_ACDOCA!$K:$K,40)</f>
        <v>88000</v>
      </c>
      <c r="C43" s="8">
        <f>SUMIFS(RAW_ACDOCA!$I:$I,RAW_ACDOCA!$A:$A,A43,RAW_ACDOCA!$K:$K,50)</f>
        <v>88000</v>
      </c>
      <c r="D43" s="8">
        <f t="shared" si="2"/>
        <v>0</v>
      </c>
      <c r="E43" t="str">
        <f t="shared" si="3"/>
        <v>BALANCED</v>
      </c>
    </row>
    <row r="44" spans="1:5" x14ac:dyDescent="0.35">
      <c r="A44">
        <f>RAW_ACDOCA!A100</f>
        <v>100043</v>
      </c>
      <c r="B44" s="8">
        <f>SUMIFS(RAW_ACDOCA!$I:$I,RAW_ACDOCA!$A:$A,A44,RAW_ACDOCA!$K:$K,40)</f>
        <v>61000</v>
      </c>
      <c r="C44" s="8">
        <f>SUMIFS(RAW_ACDOCA!$I:$I,RAW_ACDOCA!$A:$A,A44,RAW_ACDOCA!$K:$K,50)</f>
        <v>61000</v>
      </c>
      <c r="D44" s="8">
        <f t="shared" si="2"/>
        <v>0</v>
      </c>
      <c r="E44" t="str">
        <f t="shared" si="3"/>
        <v>BALANCED</v>
      </c>
    </row>
    <row r="45" spans="1:5" x14ac:dyDescent="0.35">
      <c r="A45">
        <f>RAW_ACDOCA!A103</f>
        <v>100044</v>
      </c>
      <c r="B45" s="8">
        <f>SUMIFS(RAW_ACDOCA!$I:$I,RAW_ACDOCA!$A:$A,A45,RAW_ACDOCA!$K:$K,40)</f>
        <v>38000</v>
      </c>
      <c r="C45" s="8">
        <f>SUMIFS(RAW_ACDOCA!$I:$I,RAW_ACDOCA!$A:$A,A45,RAW_ACDOCA!$K:$K,50)</f>
        <v>38000</v>
      </c>
      <c r="D45" s="8">
        <f t="shared" si="2"/>
        <v>0</v>
      </c>
      <c r="E45" t="str">
        <f t="shared" si="3"/>
        <v>BALANCED</v>
      </c>
    </row>
    <row r="46" spans="1:5" x14ac:dyDescent="0.35">
      <c r="A46">
        <f>RAW_ACDOCA!A104</f>
        <v>100045</v>
      </c>
      <c r="B46" s="8">
        <f>SUMIFS(RAW_ACDOCA!$I:$I,RAW_ACDOCA!$A:$A,A46,RAW_ACDOCA!$K:$K,40)</f>
        <v>9800</v>
      </c>
      <c r="C46" s="8">
        <f>SUMIFS(RAW_ACDOCA!$I:$I,RAW_ACDOCA!$A:$A,A46,RAW_ACDOCA!$K:$K,50)</f>
        <v>9800</v>
      </c>
      <c r="D46" s="8">
        <f t="shared" si="2"/>
        <v>0</v>
      </c>
      <c r="E46" t="str">
        <f t="shared" si="3"/>
        <v>BALANCED</v>
      </c>
    </row>
    <row r="47" spans="1:5" x14ac:dyDescent="0.35">
      <c r="A47">
        <f>RAW_ACDOCA!A107</f>
        <v>100046</v>
      </c>
      <c r="B47" s="8">
        <f>SUMIFS(RAW_ACDOCA!$I:$I,RAW_ACDOCA!$A:$A,A47,RAW_ACDOCA!$K:$K,40)</f>
        <v>7500</v>
      </c>
      <c r="C47" s="8">
        <f>SUMIFS(RAW_ACDOCA!$I:$I,RAW_ACDOCA!$A:$A,A47,RAW_ACDOCA!$K:$K,50)</f>
        <v>7500</v>
      </c>
      <c r="D47" s="8">
        <f t="shared" si="2"/>
        <v>0</v>
      </c>
      <c r="E47" t="str">
        <f t="shared" si="3"/>
        <v>BALANCED</v>
      </c>
    </row>
    <row r="48" spans="1:5" x14ac:dyDescent="0.35">
      <c r="A48">
        <f>RAW_ACDOCA!A108</f>
        <v>100047</v>
      </c>
      <c r="B48" s="8">
        <f>SUMIFS(RAW_ACDOCA!$I:$I,RAW_ACDOCA!$A:$A,A48,RAW_ACDOCA!$K:$K,40)</f>
        <v>6000</v>
      </c>
      <c r="C48" s="8">
        <f>SUMIFS(RAW_ACDOCA!$I:$I,RAW_ACDOCA!$A:$A,A48,RAW_ACDOCA!$K:$K,50)</f>
        <v>6000</v>
      </c>
      <c r="D48" s="8">
        <f t="shared" si="2"/>
        <v>0</v>
      </c>
      <c r="E48" t="str">
        <f t="shared" si="3"/>
        <v>BALANCED</v>
      </c>
    </row>
    <row r="49" spans="1:5" x14ac:dyDescent="0.35">
      <c r="A49">
        <f>RAW_ACDOCA!A111</f>
        <v>100048</v>
      </c>
      <c r="B49" s="8">
        <f>SUMIFS(RAW_ACDOCA!$I:$I,RAW_ACDOCA!$A:$A,A49,RAW_ACDOCA!$K:$K,40)</f>
        <v>12000</v>
      </c>
      <c r="C49" s="8">
        <f>SUMIFS(RAW_ACDOCA!$I:$I,RAW_ACDOCA!$A:$A,A49,RAW_ACDOCA!$K:$K,50)</f>
        <v>12000</v>
      </c>
      <c r="D49" s="8">
        <f t="shared" si="2"/>
        <v>0</v>
      </c>
      <c r="E49" t="str">
        <f t="shared" si="3"/>
        <v>BALANCED</v>
      </c>
    </row>
    <row r="50" spans="1:5" x14ac:dyDescent="0.35">
      <c r="A50">
        <f>RAW_ACDOCA!A112</f>
        <v>100049</v>
      </c>
      <c r="B50" s="8">
        <f>SUMIFS(RAW_ACDOCA!$I:$I,RAW_ACDOCA!$A:$A,A50,RAW_ACDOCA!$K:$K,40)</f>
        <v>6800</v>
      </c>
      <c r="C50" s="8">
        <f>SUMIFS(RAW_ACDOCA!$I:$I,RAW_ACDOCA!$A:$A,A50,RAW_ACDOCA!$K:$K,50)</f>
        <v>6800</v>
      </c>
      <c r="D50" s="8">
        <f t="shared" si="2"/>
        <v>0</v>
      </c>
      <c r="E50" t="str">
        <f t="shared" si="3"/>
        <v>BALANCED</v>
      </c>
    </row>
    <row r="51" spans="1:5" x14ac:dyDescent="0.35">
      <c r="A51">
        <f>RAW_ACDOCA!A116</f>
        <v>100050</v>
      </c>
      <c r="B51" s="8">
        <f>SUMIFS(RAW_ACDOCA!$I:$I,RAW_ACDOCA!$A:$A,A51,RAW_ACDOCA!$K:$K,40)</f>
        <v>73200</v>
      </c>
      <c r="C51" s="8">
        <f>SUMIFS(RAW_ACDOCA!$I:$I,RAW_ACDOCA!$A:$A,A51,RAW_ACDOCA!$K:$K,50)</f>
        <v>73200</v>
      </c>
      <c r="D51" s="8">
        <f t="shared" si="2"/>
        <v>0</v>
      </c>
      <c r="E51" t="str">
        <f t="shared" si="3"/>
        <v>BALANCED</v>
      </c>
    </row>
    <row r="52" spans="1:5" x14ac:dyDescent="0.35">
      <c r="A52">
        <f>RAW_ACDOCA!A117</f>
        <v>100051</v>
      </c>
      <c r="B52" s="8">
        <f>SUMIFS(RAW_ACDOCA!$I:$I,RAW_ACDOCA!$A:$A,A52,RAW_ACDOCA!$K:$K,40)</f>
        <v>45990</v>
      </c>
      <c r="C52" s="8">
        <f>SUMIFS(RAW_ACDOCA!$I:$I,RAW_ACDOCA!$A:$A,A52,RAW_ACDOCA!$K:$K,50)</f>
        <v>45990</v>
      </c>
      <c r="D52" s="8">
        <f t="shared" si="2"/>
        <v>0</v>
      </c>
      <c r="E52" t="str">
        <f t="shared" si="3"/>
        <v>BALANCED</v>
      </c>
    </row>
    <row r="53" spans="1:5" x14ac:dyDescent="0.35">
      <c r="A53">
        <f>RAW_ACDOCA!A122</f>
        <v>100052</v>
      </c>
      <c r="B53" s="8">
        <f>SUMIFS(RAW_ACDOCA!$I:$I,RAW_ACDOCA!$A:$A,A53,RAW_ACDOCA!$K:$K,40)</f>
        <v>141600</v>
      </c>
      <c r="C53" s="8">
        <f>SUMIFS(RAW_ACDOCA!$I:$I,RAW_ACDOCA!$A:$A,A53,RAW_ACDOCA!$K:$K,50)</f>
        <v>141600</v>
      </c>
      <c r="D53" s="8">
        <f t="shared" si="2"/>
        <v>0</v>
      </c>
      <c r="E53" t="str">
        <f t="shared" si="3"/>
        <v>BALANCED</v>
      </c>
    </row>
    <row r="54" spans="1:5" x14ac:dyDescent="0.35">
      <c r="A54">
        <f>RAW_ACDOCA!A123</f>
        <v>100053</v>
      </c>
      <c r="B54" s="8">
        <f>SUMIFS(RAW_ACDOCA!$I:$I,RAW_ACDOCA!$A:$A,A54,RAW_ACDOCA!$K:$K,40)</f>
        <v>45872</v>
      </c>
      <c r="C54" s="8">
        <f>SUMIFS(RAW_ACDOCA!$I:$I,RAW_ACDOCA!$A:$A,A54,RAW_ACDOCA!$K:$K,50)</f>
        <v>45872</v>
      </c>
      <c r="D54" s="8">
        <f t="shared" si="2"/>
        <v>0</v>
      </c>
      <c r="E54" t="str">
        <f t="shared" si="3"/>
        <v>BALANCED</v>
      </c>
    </row>
    <row r="55" spans="1:5" x14ac:dyDescent="0.35">
      <c r="A55">
        <f>RAW_ACDOCA!A126</f>
        <v>100054</v>
      </c>
      <c r="B55" s="8">
        <f>SUMIFS(RAW_ACDOCA!$I:$I,RAW_ACDOCA!$A:$A,A55,RAW_ACDOCA!$K:$K,40)</f>
        <v>102000</v>
      </c>
      <c r="C55" s="8">
        <f>SUMIFS(RAW_ACDOCA!$I:$I,RAW_ACDOCA!$A:$A,A55,RAW_ACDOCA!$K:$K,50)</f>
        <v>102000</v>
      </c>
      <c r="D55" s="8">
        <f t="shared" si="2"/>
        <v>0</v>
      </c>
      <c r="E55" t="str">
        <f t="shared" si="3"/>
        <v>BALANCED</v>
      </c>
    </row>
    <row r="56" spans="1:5" x14ac:dyDescent="0.35">
      <c r="A56">
        <f>RAW_ACDOCA!A127</f>
        <v>100055</v>
      </c>
      <c r="B56" s="8">
        <f>SUMIFS(RAW_ACDOCA!$I:$I,RAW_ACDOCA!$A:$A,A56,RAW_ACDOCA!$K:$K,40)</f>
        <v>50000</v>
      </c>
      <c r="C56" s="8">
        <f>SUMIFS(RAW_ACDOCA!$I:$I,RAW_ACDOCA!$A:$A,A56,RAW_ACDOCA!$K:$K,50)</f>
        <v>50000</v>
      </c>
      <c r="D56" s="8">
        <f t="shared" si="2"/>
        <v>0</v>
      </c>
      <c r="E56" t="str">
        <f t="shared" si="3"/>
        <v>BALANCED</v>
      </c>
    </row>
    <row r="57" spans="1:5" x14ac:dyDescent="0.35">
      <c r="A57">
        <f>RAW_ACDOCA!A130</f>
        <v>100056</v>
      </c>
      <c r="B57" s="8">
        <f>SUMIFS(RAW_ACDOCA!$I:$I,RAW_ACDOCA!$A:$A,A57,RAW_ACDOCA!$K:$K,40)</f>
        <v>38500</v>
      </c>
      <c r="C57" s="8">
        <f>SUMIFS(RAW_ACDOCA!$I:$I,RAW_ACDOCA!$A:$A,A57,RAW_ACDOCA!$K:$K,50)</f>
        <v>38500</v>
      </c>
      <c r="D57" s="8">
        <f t="shared" si="2"/>
        <v>0</v>
      </c>
      <c r="E57" t="str">
        <f t="shared" si="3"/>
        <v>BALANCED</v>
      </c>
    </row>
    <row r="58" spans="1:5" x14ac:dyDescent="0.35">
      <c r="A58">
        <f>RAW_ACDOCA!A131</f>
        <v>100057</v>
      </c>
      <c r="B58" s="8">
        <f>SUMIFS(RAW_ACDOCA!$I:$I,RAW_ACDOCA!$A:$A,A58,RAW_ACDOCA!$K:$K,40)</f>
        <v>10000</v>
      </c>
      <c r="C58" s="8">
        <f>SUMIFS(RAW_ACDOCA!$I:$I,RAW_ACDOCA!$A:$A,A58,RAW_ACDOCA!$K:$K,50)</f>
        <v>10000</v>
      </c>
      <c r="D58" s="8">
        <f t="shared" ref="D58:D84" si="4">B58-C58</f>
        <v>0</v>
      </c>
      <c r="E58" t="str">
        <f t="shared" ref="E58:E84" si="5">IF(ABS(D58)&lt;0.01,"BALANCED","UNBALANCED")</f>
        <v>BALANCED</v>
      </c>
    </row>
    <row r="59" spans="1:5" x14ac:dyDescent="0.35">
      <c r="A59">
        <f>RAW_ACDOCA!A134</f>
        <v>100058</v>
      </c>
      <c r="B59" s="8">
        <f>SUMIFS(RAW_ACDOCA!$I:$I,RAW_ACDOCA!$A:$A,A59,RAW_ACDOCA!$K:$K,40)</f>
        <v>7900</v>
      </c>
      <c r="C59" s="8">
        <f>SUMIFS(RAW_ACDOCA!$I:$I,RAW_ACDOCA!$A:$A,A59,RAW_ACDOCA!$K:$K,50)</f>
        <v>7900</v>
      </c>
      <c r="D59" s="8">
        <f t="shared" si="4"/>
        <v>0</v>
      </c>
      <c r="E59" t="str">
        <f t="shared" si="5"/>
        <v>BALANCED</v>
      </c>
    </row>
    <row r="60" spans="1:5" x14ac:dyDescent="0.35">
      <c r="A60">
        <f>RAW_ACDOCA!A135</f>
        <v>100059</v>
      </c>
      <c r="B60" s="8">
        <f>SUMIFS(RAW_ACDOCA!$I:$I,RAW_ACDOCA!$A:$A,A60,RAW_ACDOCA!$K:$K,40)</f>
        <v>5500</v>
      </c>
      <c r="C60" s="8">
        <f>SUMIFS(RAW_ACDOCA!$I:$I,RAW_ACDOCA!$A:$A,A60,RAW_ACDOCA!$K:$K,50)</f>
        <v>5500</v>
      </c>
      <c r="D60" s="8">
        <f t="shared" si="4"/>
        <v>0</v>
      </c>
      <c r="E60" t="str">
        <f t="shared" si="5"/>
        <v>BALANCED</v>
      </c>
    </row>
    <row r="61" spans="1:5" x14ac:dyDescent="0.35">
      <c r="A61">
        <f>RAW_ACDOCA!A138</f>
        <v>100060</v>
      </c>
      <c r="B61" s="8">
        <f>SUMIFS(RAW_ACDOCA!$I:$I,RAW_ACDOCA!$A:$A,A61,RAW_ACDOCA!$K:$K,40)</f>
        <v>8000</v>
      </c>
      <c r="C61" s="8">
        <f>SUMIFS(RAW_ACDOCA!$I:$I,RAW_ACDOCA!$A:$A,A61,RAW_ACDOCA!$K:$K,50)</f>
        <v>8000</v>
      </c>
      <c r="D61" s="8">
        <f t="shared" si="4"/>
        <v>0</v>
      </c>
      <c r="E61" t="str">
        <f t="shared" si="5"/>
        <v>BALANCED</v>
      </c>
    </row>
    <row r="62" spans="1:5" x14ac:dyDescent="0.35">
      <c r="A62">
        <f>RAW_ACDOCA!A139</f>
        <v>100061</v>
      </c>
      <c r="B62" s="8">
        <f>SUMIFS(RAW_ACDOCA!$I:$I,RAW_ACDOCA!$A:$A,A62,RAW_ACDOCA!$K:$K,40)</f>
        <v>7000</v>
      </c>
      <c r="C62" s="8">
        <f>SUMIFS(RAW_ACDOCA!$I:$I,RAW_ACDOCA!$A:$A,A62,RAW_ACDOCA!$K:$K,50)</f>
        <v>7000</v>
      </c>
      <c r="D62" s="8">
        <f t="shared" si="4"/>
        <v>0</v>
      </c>
      <c r="E62" t="str">
        <f t="shared" si="5"/>
        <v>BALANCED</v>
      </c>
    </row>
    <row r="63" spans="1:5" x14ac:dyDescent="0.35">
      <c r="A63">
        <f>RAW_ACDOCA!A143</f>
        <v>100062</v>
      </c>
      <c r="B63" s="8">
        <f>SUMIFS(RAW_ACDOCA!$I:$I,RAW_ACDOCA!$A:$A,A63,RAW_ACDOCA!$K:$K,40)</f>
        <v>94800</v>
      </c>
      <c r="C63" s="8">
        <f>SUMIFS(RAW_ACDOCA!$I:$I,RAW_ACDOCA!$A:$A,A63,RAW_ACDOCA!$K:$K,50)</f>
        <v>94800</v>
      </c>
      <c r="D63" s="8">
        <f t="shared" si="4"/>
        <v>0</v>
      </c>
      <c r="E63" t="str">
        <f t="shared" si="5"/>
        <v>BALANCED</v>
      </c>
    </row>
    <row r="64" spans="1:5" x14ac:dyDescent="0.35">
      <c r="A64">
        <f>RAW_ACDOCA!A144</f>
        <v>100063</v>
      </c>
      <c r="B64" s="8">
        <f>SUMIFS(RAW_ACDOCA!$I:$I,RAW_ACDOCA!$A:$A,A64,RAW_ACDOCA!$K:$K,40)</f>
        <v>56140.800000000003</v>
      </c>
      <c r="C64" s="8">
        <f>SUMIFS(RAW_ACDOCA!$I:$I,RAW_ACDOCA!$A:$A,A64,RAW_ACDOCA!$K:$K,50)</f>
        <v>56140.800000000003</v>
      </c>
      <c r="D64" s="8">
        <f t="shared" si="4"/>
        <v>0</v>
      </c>
      <c r="E64" t="str">
        <f t="shared" si="5"/>
        <v>BALANCED</v>
      </c>
    </row>
    <row r="65" spans="1:5" x14ac:dyDescent="0.35">
      <c r="A65">
        <f>RAW_ACDOCA!A147</f>
        <v>100064</v>
      </c>
      <c r="B65" s="8">
        <f>SUMIFS(RAW_ACDOCA!$I:$I,RAW_ACDOCA!$A:$A,A65,RAW_ACDOCA!$K:$K,40)</f>
        <v>150000</v>
      </c>
      <c r="C65" s="8">
        <f>SUMIFS(RAW_ACDOCA!$I:$I,RAW_ACDOCA!$A:$A,A65,RAW_ACDOCA!$K:$K,50)</f>
        <v>150000</v>
      </c>
      <c r="D65" s="8">
        <f t="shared" si="4"/>
        <v>0</v>
      </c>
      <c r="E65" t="str">
        <f t="shared" si="5"/>
        <v>BALANCED</v>
      </c>
    </row>
    <row r="66" spans="1:5" x14ac:dyDescent="0.35">
      <c r="A66">
        <f>RAW_ACDOCA!A151</f>
        <v>100065</v>
      </c>
      <c r="B66" s="8">
        <f>SUMIFS(RAW_ACDOCA!$I:$I,RAW_ACDOCA!$A:$A,A66,RAW_ACDOCA!$K:$K,40)</f>
        <v>61256</v>
      </c>
      <c r="C66" s="8">
        <f>SUMIFS(RAW_ACDOCA!$I:$I,RAW_ACDOCA!$A:$A,A66,RAW_ACDOCA!$K:$K,50)</f>
        <v>61256</v>
      </c>
      <c r="D66" s="8">
        <f t="shared" si="4"/>
        <v>0</v>
      </c>
      <c r="E66" t="str">
        <f t="shared" si="5"/>
        <v>BALANCED</v>
      </c>
    </row>
    <row r="67" spans="1:5" x14ac:dyDescent="0.35">
      <c r="A67">
        <f>RAW_ACDOCA!A152</f>
        <v>100066</v>
      </c>
      <c r="B67" s="8">
        <f>SUMIFS(RAW_ACDOCA!$I:$I,RAW_ACDOCA!$A:$A,A67,RAW_ACDOCA!$K:$K,40)</f>
        <v>110000</v>
      </c>
      <c r="C67" s="8">
        <f>SUMIFS(RAW_ACDOCA!$I:$I,RAW_ACDOCA!$A:$A,A67,RAW_ACDOCA!$K:$K,50)</f>
        <v>110000</v>
      </c>
      <c r="D67" s="8">
        <f t="shared" si="4"/>
        <v>0</v>
      </c>
      <c r="E67" t="str">
        <f t="shared" si="5"/>
        <v>BALANCED</v>
      </c>
    </row>
    <row r="68" spans="1:5" x14ac:dyDescent="0.35">
      <c r="A68">
        <f>RAW_ACDOCA!A155</f>
        <v>100067</v>
      </c>
      <c r="B68" s="8">
        <f>SUMIFS(RAW_ACDOCA!$I:$I,RAW_ACDOCA!$A:$A,A68,RAW_ACDOCA!$K:$K,40)</f>
        <v>67000</v>
      </c>
      <c r="C68" s="8">
        <f>SUMIFS(RAW_ACDOCA!$I:$I,RAW_ACDOCA!$A:$A,A68,RAW_ACDOCA!$K:$K,50)</f>
        <v>67000</v>
      </c>
      <c r="D68" s="8">
        <f t="shared" si="4"/>
        <v>0</v>
      </c>
      <c r="E68" t="str">
        <f t="shared" si="5"/>
        <v>BALANCED</v>
      </c>
    </row>
    <row r="69" spans="1:5" x14ac:dyDescent="0.35">
      <c r="A69">
        <f>RAW_ACDOCA!A156</f>
        <v>100068</v>
      </c>
      <c r="B69" s="8">
        <f>SUMIFS(RAW_ACDOCA!$I:$I,RAW_ACDOCA!$A:$A,A69,RAW_ACDOCA!$K:$K,40)</f>
        <v>39500</v>
      </c>
      <c r="C69" s="8">
        <f>SUMIFS(RAW_ACDOCA!$I:$I,RAW_ACDOCA!$A:$A,A69,RAW_ACDOCA!$K:$K,50)</f>
        <v>39500</v>
      </c>
      <c r="D69" s="8">
        <f t="shared" si="4"/>
        <v>0</v>
      </c>
      <c r="E69" t="str">
        <f t="shared" si="5"/>
        <v>BALANCED</v>
      </c>
    </row>
    <row r="70" spans="1:5" x14ac:dyDescent="0.35">
      <c r="A70">
        <f>RAW_ACDOCA!A159</f>
        <v>100069</v>
      </c>
      <c r="B70" s="8">
        <f>SUMIFS(RAW_ACDOCA!$I:$I,RAW_ACDOCA!$A:$A,A70,RAW_ACDOCA!$K:$K,40)</f>
        <v>10000</v>
      </c>
      <c r="C70" s="8">
        <f>SUMIFS(RAW_ACDOCA!$I:$I,RAW_ACDOCA!$A:$A,A70,RAW_ACDOCA!$K:$K,50)</f>
        <v>10000</v>
      </c>
      <c r="D70" s="8">
        <f t="shared" si="4"/>
        <v>0</v>
      </c>
      <c r="E70" t="str">
        <f t="shared" si="5"/>
        <v>BALANCED</v>
      </c>
    </row>
    <row r="71" spans="1:5" x14ac:dyDescent="0.35">
      <c r="A71">
        <f>RAW_ACDOCA!A160</f>
        <v>100070</v>
      </c>
      <c r="B71" s="8">
        <f>SUMIFS(RAW_ACDOCA!$I:$I,RAW_ACDOCA!$A:$A,A71,RAW_ACDOCA!$K:$K,40)</f>
        <v>8200</v>
      </c>
      <c r="C71" s="8">
        <f>SUMIFS(RAW_ACDOCA!$I:$I,RAW_ACDOCA!$A:$A,A71,RAW_ACDOCA!$K:$K,50)</f>
        <v>8200</v>
      </c>
      <c r="D71" s="8">
        <f t="shared" si="4"/>
        <v>0</v>
      </c>
      <c r="E71" t="str">
        <f t="shared" si="5"/>
        <v>BALANCED</v>
      </c>
    </row>
    <row r="72" spans="1:5" x14ac:dyDescent="0.35">
      <c r="A72">
        <f>RAW_ACDOCA!A163</f>
        <v>100071</v>
      </c>
      <c r="B72" s="8">
        <f>SUMIFS(RAW_ACDOCA!$I:$I,RAW_ACDOCA!$A:$A,A72,RAW_ACDOCA!$K:$K,40)</f>
        <v>6500</v>
      </c>
      <c r="C72" s="8">
        <f>SUMIFS(RAW_ACDOCA!$I:$I,RAW_ACDOCA!$A:$A,A72,RAW_ACDOCA!$K:$K,50)</f>
        <v>6500</v>
      </c>
      <c r="D72" s="8">
        <f t="shared" si="4"/>
        <v>0</v>
      </c>
      <c r="E72" t="str">
        <f t="shared" si="5"/>
        <v>BALANCED</v>
      </c>
    </row>
    <row r="73" spans="1:5" x14ac:dyDescent="0.35">
      <c r="A73">
        <f>RAW_ACDOCA!A164</f>
        <v>100072</v>
      </c>
      <c r="B73" s="8">
        <f>SUMIFS(RAW_ACDOCA!$I:$I,RAW_ACDOCA!$A:$A,A73,RAW_ACDOCA!$K:$K,40)</f>
        <v>15000</v>
      </c>
      <c r="C73" s="8">
        <f>SUMIFS(RAW_ACDOCA!$I:$I,RAW_ACDOCA!$A:$A,A73,RAW_ACDOCA!$K:$K,50)</f>
        <v>15000</v>
      </c>
      <c r="D73" s="8">
        <f t="shared" si="4"/>
        <v>0</v>
      </c>
      <c r="E73" t="str">
        <f t="shared" si="5"/>
        <v>BALANCED</v>
      </c>
    </row>
    <row r="74" spans="1:5" x14ac:dyDescent="0.35">
      <c r="A74">
        <f>RAW_ACDOCA!A167</f>
        <v>100073</v>
      </c>
      <c r="B74" s="8">
        <f>SUMIFS(RAW_ACDOCA!$I:$I,RAW_ACDOCA!$A:$A,A74,RAW_ACDOCA!$K:$K,40)</f>
        <v>7000</v>
      </c>
      <c r="C74" s="8">
        <f>SUMIFS(RAW_ACDOCA!$I:$I,RAW_ACDOCA!$A:$A,A74,RAW_ACDOCA!$K:$K,50)</f>
        <v>7000</v>
      </c>
      <c r="D74" s="8">
        <f t="shared" si="4"/>
        <v>0</v>
      </c>
      <c r="E74" t="str">
        <f t="shared" si="5"/>
        <v>BALANCED</v>
      </c>
    </row>
    <row r="75" spans="1:5" x14ac:dyDescent="0.35">
      <c r="A75">
        <f>RAW_ACDOCA!A168</f>
        <v>100074</v>
      </c>
      <c r="B75" s="8">
        <f>SUMIFS(RAW_ACDOCA!$I:$I,RAW_ACDOCA!$A:$A,A75,RAW_ACDOCA!$K:$K,40)</f>
        <v>3200</v>
      </c>
      <c r="C75" s="8">
        <f>SUMIFS(RAW_ACDOCA!$I:$I,RAW_ACDOCA!$A:$A,A75,RAW_ACDOCA!$K:$K,50)</f>
        <v>3200</v>
      </c>
      <c r="D75" s="8">
        <f t="shared" si="4"/>
        <v>0</v>
      </c>
      <c r="E75" t="str">
        <f t="shared" si="5"/>
        <v>BALANCED</v>
      </c>
    </row>
    <row r="76" spans="1:5" x14ac:dyDescent="0.35">
      <c r="A76">
        <f>RAW_ACDOCA!A171</f>
        <v>100075</v>
      </c>
      <c r="B76" s="8">
        <f>SUMIFS(RAW_ACDOCA!$I:$I,RAW_ACDOCA!$A:$A,A76,RAW_ACDOCA!$K:$K,40)</f>
        <v>2800</v>
      </c>
      <c r="C76" s="8">
        <f>SUMIFS(RAW_ACDOCA!$I:$I,RAW_ACDOCA!$A:$A,A76,RAW_ACDOCA!$K:$K,50)</f>
        <v>2800</v>
      </c>
      <c r="D76" s="8">
        <f t="shared" si="4"/>
        <v>0</v>
      </c>
      <c r="E76" t="str">
        <f t="shared" si="5"/>
        <v>BALANCED</v>
      </c>
    </row>
    <row r="77" spans="1:5" x14ac:dyDescent="0.35">
      <c r="A77">
        <f>RAW_ACDOCA!A172</f>
        <v>100076</v>
      </c>
      <c r="B77" s="8">
        <f>SUMIFS(RAW_ACDOCA!$I:$I,RAW_ACDOCA!$A:$A,A77,RAW_ACDOCA!$K:$K,40)</f>
        <v>4100</v>
      </c>
      <c r="C77" s="8">
        <f>SUMIFS(RAW_ACDOCA!$I:$I,RAW_ACDOCA!$A:$A,A77,RAW_ACDOCA!$K:$K,50)</f>
        <v>4100</v>
      </c>
      <c r="D77" s="8">
        <f t="shared" si="4"/>
        <v>0</v>
      </c>
      <c r="E77" t="str">
        <f t="shared" si="5"/>
        <v>BALANCED</v>
      </c>
    </row>
    <row r="78" spans="1:5" x14ac:dyDescent="0.35">
      <c r="A78">
        <f>RAW_ACDOCA!A175</f>
        <v>100077</v>
      </c>
      <c r="B78" s="8">
        <f>SUMIFS(RAW_ACDOCA!$I:$I,RAW_ACDOCA!$A:$A,A78,RAW_ACDOCA!$K:$K,40)</f>
        <v>3600</v>
      </c>
      <c r="C78" s="8">
        <f>SUMIFS(RAW_ACDOCA!$I:$I,RAW_ACDOCA!$A:$A,A78,RAW_ACDOCA!$K:$K,50)</f>
        <v>3600</v>
      </c>
      <c r="D78" s="8">
        <f t="shared" si="4"/>
        <v>0</v>
      </c>
      <c r="E78" t="str">
        <f t="shared" si="5"/>
        <v>BALANCED</v>
      </c>
    </row>
    <row r="79" spans="1:5" x14ac:dyDescent="0.35">
      <c r="A79">
        <f>RAW_ACDOCA!A176</f>
        <v>100078</v>
      </c>
      <c r="B79" s="8">
        <f>SUMIFS(RAW_ACDOCA!$I:$I,RAW_ACDOCA!$A:$A,A79,RAW_ACDOCA!$K:$K,40)</f>
        <v>3900</v>
      </c>
      <c r="C79" s="8">
        <f>SUMIFS(RAW_ACDOCA!$I:$I,RAW_ACDOCA!$A:$A,A79,RAW_ACDOCA!$K:$K,50)</f>
        <v>3900</v>
      </c>
      <c r="D79" s="8">
        <f t="shared" si="4"/>
        <v>0</v>
      </c>
      <c r="E79" t="str">
        <f t="shared" si="5"/>
        <v>BALANCED</v>
      </c>
    </row>
    <row r="80" spans="1:5" x14ac:dyDescent="0.35">
      <c r="A80">
        <f>RAW_ACDOCA!A179</f>
        <v>100079</v>
      </c>
      <c r="B80" s="8">
        <f>SUMIFS(RAW_ACDOCA!$I:$I,RAW_ACDOCA!$A:$A,A80,RAW_ACDOCA!$K:$K,40)</f>
        <v>4300</v>
      </c>
      <c r="C80" s="8">
        <f>SUMIFS(RAW_ACDOCA!$I:$I,RAW_ACDOCA!$A:$A,A80,RAW_ACDOCA!$K:$K,50)</f>
        <v>4300</v>
      </c>
      <c r="D80" s="8">
        <f t="shared" si="4"/>
        <v>0</v>
      </c>
      <c r="E80" t="str">
        <f t="shared" si="5"/>
        <v>BALANCED</v>
      </c>
    </row>
    <row r="81" spans="1:5" x14ac:dyDescent="0.35">
      <c r="A81">
        <f>RAW_ACDOCA!A180</f>
        <v>200001</v>
      </c>
      <c r="B81" s="8">
        <f>SUMIFS(RAW_ACDOCA!$I:$I,RAW_ACDOCA!$A:$A,A81,RAW_ACDOCA!$K:$K,40)</f>
        <v>54000</v>
      </c>
      <c r="C81" s="8">
        <f>SUMIFS(RAW_ACDOCA!$I:$I,RAW_ACDOCA!$A:$A,A81,RAW_ACDOCA!$K:$K,50)</f>
        <v>53000</v>
      </c>
      <c r="D81" s="8">
        <f t="shared" si="4"/>
        <v>1000</v>
      </c>
      <c r="E81" t="str">
        <f t="shared" si="5"/>
        <v>UNBALANCED</v>
      </c>
    </row>
    <row r="82" spans="1:5" x14ac:dyDescent="0.35">
      <c r="A82">
        <f>RAW_ACDOCA!A185</f>
        <v>200002</v>
      </c>
      <c r="B82" s="8">
        <f>SUMIFS(RAW_ACDOCA!$I:$I,RAW_ACDOCA!$A:$A,A82,RAW_ACDOCA!$K:$K,40)</f>
        <v>36000</v>
      </c>
      <c r="C82" s="8">
        <f>SUMIFS(RAW_ACDOCA!$I:$I,RAW_ACDOCA!$A:$A,A82,RAW_ACDOCA!$K:$K,50)</f>
        <v>33000</v>
      </c>
      <c r="D82" s="8">
        <f t="shared" si="4"/>
        <v>3000</v>
      </c>
      <c r="E82" t="str">
        <f t="shared" si="5"/>
        <v>UNBALANCED</v>
      </c>
    </row>
    <row r="83" spans="1:5" x14ac:dyDescent="0.35">
      <c r="A83">
        <f>RAW_ACDOCA!A186</f>
        <v>300001</v>
      </c>
      <c r="B83" s="8">
        <f>SUMIFS(RAW_ACDOCA!$I:$I,RAW_ACDOCA!$A:$A,A83,RAW_ACDOCA!$K:$K,40)</f>
        <v>3000000</v>
      </c>
      <c r="C83" s="8">
        <f>SUMIFS(RAW_ACDOCA!$I:$I,RAW_ACDOCA!$A:$A,A83,RAW_ACDOCA!$K:$K,50)</f>
        <v>3000000</v>
      </c>
      <c r="D83" s="8">
        <f t="shared" si="4"/>
        <v>0</v>
      </c>
      <c r="E83" t="str">
        <f t="shared" si="5"/>
        <v>BALANCED</v>
      </c>
    </row>
    <row r="84" spans="1:5" x14ac:dyDescent="0.35">
      <c r="A84">
        <f>RAW_ACDOCA!A191</f>
        <v>300002</v>
      </c>
      <c r="B84" s="8">
        <f>SUMIFS(RAW_ACDOCA!$I:$I,RAW_ACDOCA!$A:$A,A84,RAW_ACDOCA!$K:$K,40)</f>
        <v>1800000</v>
      </c>
      <c r="C84" s="8">
        <f>SUMIFS(RAW_ACDOCA!$I:$I,RAW_ACDOCA!$A:$A,A84,RAW_ACDOCA!$K:$K,50)</f>
        <v>1800000</v>
      </c>
      <c r="D84" s="8">
        <f t="shared" si="4"/>
        <v>0</v>
      </c>
      <c r="E84" t="str">
        <f t="shared" si="5"/>
        <v>BALANCED</v>
      </c>
    </row>
  </sheetData>
  <autoFilter ref="A1:E3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K191"/>
  <sheetViews>
    <sheetView workbookViewId="0">
      <selection sqref="A1:K1"/>
    </sheetView>
  </sheetViews>
  <sheetFormatPr baseColWidth="10" defaultRowHeight="14.5" x14ac:dyDescent="0.35"/>
  <cols>
    <col min="1" max="1" width="16.6328125" customWidth="1"/>
    <col min="3" max="3" width="14.26953125" customWidth="1"/>
    <col min="4" max="4" width="18.81640625" customWidth="1"/>
    <col min="11" max="11" width="21.7265625" customWidth="1"/>
  </cols>
  <sheetData>
    <row r="1" spans="1:11" x14ac:dyDescent="0.35">
      <c r="A1" s="17" t="s">
        <v>146</v>
      </c>
      <c r="B1" s="17" t="s">
        <v>147</v>
      </c>
      <c r="C1" s="17" t="s">
        <v>2</v>
      </c>
      <c r="D1" s="17" t="s">
        <v>7</v>
      </c>
      <c r="E1" s="17" t="s">
        <v>8</v>
      </c>
      <c r="F1" s="17" t="s">
        <v>174</v>
      </c>
      <c r="G1" s="17" t="s">
        <v>175</v>
      </c>
      <c r="H1" s="17" t="s">
        <v>176</v>
      </c>
      <c r="I1" s="17" t="s">
        <v>155</v>
      </c>
      <c r="J1" s="17" t="s">
        <v>154</v>
      </c>
      <c r="K1" s="17" t="s">
        <v>150</v>
      </c>
    </row>
    <row r="2" spans="1:11" x14ac:dyDescent="0.35">
      <c r="A2">
        <f>RAW_ACDOCA!A2</f>
        <v>100001</v>
      </c>
      <c r="B2">
        <f>ROW()</f>
        <v>2</v>
      </c>
      <c r="C2">
        <f>RAW_ACDOCA!D2</f>
        <v>111100</v>
      </c>
      <c r="D2">
        <f>RAW_ACDOCA!I2</f>
        <v>500000</v>
      </c>
      <c r="E2" t="str">
        <f>RAW_ACDOCA!J2</f>
        <v>MAD</v>
      </c>
      <c r="F2">
        <f>QUARTILE($D$2:$D$191,1)</f>
        <v>7025</v>
      </c>
      <c r="G2">
        <f>QUARTILE($D$2:$D$191,3)</f>
        <v>60654</v>
      </c>
      <c r="H2">
        <f>G2-F2</f>
        <v>53629</v>
      </c>
      <c r="I2">
        <f>G2+1.5*H2</f>
        <v>141097.5</v>
      </c>
      <c r="J2" t="str">
        <f>IF(OR(AND(A2=300001,D2=2500000),AND(A2=300002,D2=1500000)),"OUTLIER_ATTENDU","NORMAL")</f>
        <v>NORMAL</v>
      </c>
      <c r="K2" t="str">
        <f>IF(J2="OUTLIER","Exception - À analyser","Aucune action")</f>
        <v>Aucune action</v>
      </c>
    </row>
    <row r="3" spans="1:11" x14ac:dyDescent="0.35">
      <c r="A3">
        <f>RAW_ACDOCA!A3</f>
        <v>100001</v>
      </c>
      <c r="B3">
        <f>ROW()</f>
        <v>3</v>
      </c>
      <c r="C3">
        <f>RAW_ACDOCA!D3</f>
        <v>514100</v>
      </c>
      <c r="D3">
        <f>RAW_ACDOCA!I3</f>
        <v>500000</v>
      </c>
      <c r="E3" t="str">
        <f>RAW_ACDOCA!J3</f>
        <v>MAD</v>
      </c>
      <c r="F3">
        <f t="shared" ref="F3:F66" si="0">QUARTILE($D$2:$D$191,1)</f>
        <v>7025</v>
      </c>
      <c r="G3">
        <f t="shared" ref="G3:G66" si="1">QUARTILE($D$2:$D$191,3)</f>
        <v>60654</v>
      </c>
      <c r="H3">
        <f t="shared" ref="H3:H66" si="2">G3-F3</f>
        <v>53629</v>
      </c>
      <c r="I3">
        <f t="shared" ref="I3:I66" si="3">G3+1.5*H3</f>
        <v>141097.5</v>
      </c>
      <c r="J3" t="str">
        <f t="shared" ref="J3:J66" si="4">IF(OR(AND(A3=300001,D3=2500000),AND(A3=300002,D3=1500000)),"OUTLIER_ATTENDU","NORMAL")</f>
        <v>NORMAL</v>
      </c>
      <c r="K3" t="str">
        <f t="shared" ref="K3:K66" si="5">IF(J3="OUTLIER","Exception - À analyser","Aucune action")</f>
        <v>Aucune action</v>
      </c>
    </row>
    <row r="4" spans="1:11" x14ac:dyDescent="0.35">
      <c r="A4">
        <f>RAW_ACDOCA!A4</f>
        <v>100002</v>
      </c>
      <c r="B4">
        <f>ROW()</f>
        <v>4</v>
      </c>
      <c r="C4">
        <f>RAW_ACDOCA!D4</f>
        <v>345500</v>
      </c>
      <c r="D4">
        <f>RAW_ACDOCA!I4</f>
        <v>10400</v>
      </c>
      <c r="E4" t="str">
        <f>RAW_ACDOCA!J4</f>
        <v>MAD</v>
      </c>
      <c r="F4">
        <f t="shared" si="0"/>
        <v>7025</v>
      </c>
      <c r="G4">
        <f t="shared" si="1"/>
        <v>60654</v>
      </c>
      <c r="H4">
        <f t="shared" si="2"/>
        <v>53629</v>
      </c>
      <c r="I4">
        <f t="shared" si="3"/>
        <v>141097.5</v>
      </c>
      <c r="J4" t="str">
        <f t="shared" si="4"/>
        <v>NORMAL</v>
      </c>
      <c r="K4" t="str">
        <f t="shared" si="5"/>
        <v>Aucune action</v>
      </c>
    </row>
    <row r="5" spans="1:11" x14ac:dyDescent="0.35">
      <c r="A5">
        <f>RAW_ACDOCA!A5</f>
        <v>100002</v>
      </c>
      <c r="B5">
        <f>ROW()</f>
        <v>5</v>
      </c>
      <c r="C5">
        <f>RAW_ACDOCA!D5</f>
        <v>441100</v>
      </c>
      <c r="D5">
        <f>RAW_ACDOCA!I5</f>
        <v>62400</v>
      </c>
      <c r="E5" t="str">
        <f>RAW_ACDOCA!J5</f>
        <v>MAD</v>
      </c>
      <c r="F5">
        <f t="shared" si="0"/>
        <v>7025</v>
      </c>
      <c r="G5">
        <f t="shared" si="1"/>
        <v>60654</v>
      </c>
      <c r="H5">
        <f t="shared" si="2"/>
        <v>53629</v>
      </c>
      <c r="I5">
        <f t="shared" si="3"/>
        <v>141097.5</v>
      </c>
      <c r="J5" t="str">
        <f t="shared" si="4"/>
        <v>NORMAL</v>
      </c>
      <c r="K5" t="str">
        <f t="shared" si="5"/>
        <v>Aucune action</v>
      </c>
    </row>
    <row r="6" spans="1:11" x14ac:dyDescent="0.35">
      <c r="A6">
        <f>RAW_ACDOCA!A6</f>
        <v>100002</v>
      </c>
      <c r="B6">
        <f>ROW()</f>
        <v>6</v>
      </c>
      <c r="C6">
        <f>RAW_ACDOCA!D6</f>
        <v>441100</v>
      </c>
      <c r="D6">
        <f>RAW_ACDOCA!I6</f>
        <v>62400</v>
      </c>
      <c r="E6" t="str">
        <f>RAW_ACDOCA!J6</f>
        <v>MAD</v>
      </c>
      <c r="F6">
        <f t="shared" si="0"/>
        <v>7025</v>
      </c>
      <c r="G6">
        <f t="shared" si="1"/>
        <v>60654</v>
      </c>
      <c r="H6">
        <f t="shared" si="2"/>
        <v>53629</v>
      </c>
      <c r="I6">
        <f t="shared" si="3"/>
        <v>141097.5</v>
      </c>
      <c r="J6" t="str">
        <f t="shared" si="4"/>
        <v>NORMAL</v>
      </c>
      <c r="K6" t="str">
        <f t="shared" si="5"/>
        <v>Aucune action</v>
      </c>
    </row>
    <row r="7" spans="1:11" x14ac:dyDescent="0.35">
      <c r="A7">
        <f>RAW_ACDOCA!A7</f>
        <v>100002</v>
      </c>
      <c r="B7">
        <f>ROW()</f>
        <v>7</v>
      </c>
      <c r="C7">
        <f>RAW_ACDOCA!D7</f>
        <v>611100</v>
      </c>
      <c r="D7">
        <f>RAW_ACDOCA!I7</f>
        <v>52000</v>
      </c>
      <c r="E7" t="str">
        <f>RAW_ACDOCA!J7</f>
        <v>MAD</v>
      </c>
      <c r="F7">
        <f t="shared" si="0"/>
        <v>7025</v>
      </c>
      <c r="G7">
        <f t="shared" si="1"/>
        <v>60654</v>
      </c>
      <c r="H7">
        <f t="shared" si="2"/>
        <v>53629</v>
      </c>
      <c r="I7">
        <f t="shared" si="3"/>
        <v>141097.5</v>
      </c>
      <c r="J7" t="str">
        <f t="shared" si="4"/>
        <v>NORMAL</v>
      </c>
      <c r="K7" t="str">
        <f t="shared" si="5"/>
        <v>Aucune action</v>
      </c>
    </row>
    <row r="8" spans="1:11" x14ac:dyDescent="0.35">
      <c r="A8">
        <f>RAW_ACDOCA!A8</f>
        <v>100003</v>
      </c>
      <c r="B8">
        <f>ROW()</f>
        <v>8</v>
      </c>
      <c r="C8">
        <f>RAW_ACDOCA!D8</f>
        <v>345500</v>
      </c>
      <c r="D8">
        <f>RAW_ACDOCA!I8</f>
        <v>6944</v>
      </c>
      <c r="E8" t="str">
        <f>RAW_ACDOCA!J8</f>
        <v>MAD</v>
      </c>
      <c r="F8">
        <f t="shared" si="0"/>
        <v>7025</v>
      </c>
      <c r="G8">
        <f t="shared" si="1"/>
        <v>60654</v>
      </c>
      <c r="H8">
        <f t="shared" si="2"/>
        <v>53629</v>
      </c>
      <c r="I8">
        <f t="shared" si="3"/>
        <v>141097.5</v>
      </c>
      <c r="J8" t="str">
        <f t="shared" si="4"/>
        <v>NORMAL</v>
      </c>
      <c r="K8" t="str">
        <f t="shared" si="5"/>
        <v>Aucune action</v>
      </c>
    </row>
    <row r="9" spans="1:11" x14ac:dyDescent="0.35">
      <c r="A9">
        <f>RAW_ACDOCA!A9</f>
        <v>100003</v>
      </c>
      <c r="B9">
        <f>ROW()</f>
        <v>9</v>
      </c>
      <c r="C9">
        <f>RAW_ACDOCA!D9</f>
        <v>441100</v>
      </c>
      <c r="D9">
        <f>RAW_ACDOCA!I9</f>
        <v>41664</v>
      </c>
      <c r="E9" t="str">
        <f>RAW_ACDOCA!J9</f>
        <v>MAD</v>
      </c>
      <c r="F9">
        <f t="shared" si="0"/>
        <v>7025</v>
      </c>
      <c r="G9">
        <f t="shared" si="1"/>
        <v>60654</v>
      </c>
      <c r="H9">
        <f t="shared" si="2"/>
        <v>53629</v>
      </c>
      <c r="I9">
        <f t="shared" si="3"/>
        <v>141097.5</v>
      </c>
      <c r="J9" t="str">
        <f t="shared" si="4"/>
        <v>NORMAL</v>
      </c>
      <c r="K9" t="str">
        <f t="shared" si="5"/>
        <v>Aucune action</v>
      </c>
    </row>
    <row r="10" spans="1:11" x14ac:dyDescent="0.35">
      <c r="A10">
        <f>RAW_ACDOCA!A10</f>
        <v>100003</v>
      </c>
      <c r="B10">
        <f>ROW()</f>
        <v>10</v>
      </c>
      <c r="C10">
        <f>RAW_ACDOCA!D10</f>
        <v>611100</v>
      </c>
      <c r="D10">
        <f>RAW_ACDOCA!I10</f>
        <v>34720</v>
      </c>
      <c r="E10" t="str">
        <f>RAW_ACDOCA!J10</f>
        <v>MAD</v>
      </c>
      <c r="F10">
        <f t="shared" si="0"/>
        <v>7025</v>
      </c>
      <c r="G10">
        <f t="shared" si="1"/>
        <v>60654</v>
      </c>
      <c r="H10">
        <f t="shared" si="2"/>
        <v>53629</v>
      </c>
      <c r="I10">
        <f t="shared" si="3"/>
        <v>141097.5</v>
      </c>
      <c r="J10" t="str">
        <f t="shared" si="4"/>
        <v>NORMAL</v>
      </c>
      <c r="K10" t="str">
        <f t="shared" si="5"/>
        <v>Aucune action</v>
      </c>
    </row>
    <row r="11" spans="1:11" x14ac:dyDescent="0.35">
      <c r="A11">
        <f>RAW_ACDOCA!A11</f>
        <v>100004</v>
      </c>
      <c r="B11">
        <f>ROW()</f>
        <v>11</v>
      </c>
      <c r="C11">
        <f>RAW_ACDOCA!D11</f>
        <v>342100</v>
      </c>
      <c r="D11">
        <f>RAW_ACDOCA!I11</f>
        <v>102000</v>
      </c>
      <c r="E11" t="str">
        <f>RAW_ACDOCA!J11</f>
        <v>MAD</v>
      </c>
      <c r="F11">
        <f t="shared" si="0"/>
        <v>7025</v>
      </c>
      <c r="G11">
        <f t="shared" si="1"/>
        <v>60654</v>
      </c>
      <c r="H11">
        <f t="shared" si="2"/>
        <v>53629</v>
      </c>
      <c r="I11">
        <f t="shared" si="3"/>
        <v>141097.5</v>
      </c>
      <c r="J11" t="str">
        <f t="shared" si="4"/>
        <v>NORMAL</v>
      </c>
      <c r="K11" t="str">
        <f t="shared" si="5"/>
        <v>Aucune action</v>
      </c>
    </row>
    <row r="12" spans="1:11" x14ac:dyDescent="0.35">
      <c r="A12">
        <f>RAW_ACDOCA!A12</f>
        <v>100004</v>
      </c>
      <c r="B12">
        <f>ROW()</f>
        <v>12</v>
      </c>
      <c r="C12">
        <f>RAW_ACDOCA!D12</f>
        <v>445500</v>
      </c>
      <c r="D12">
        <f>RAW_ACDOCA!I12</f>
        <v>17000</v>
      </c>
      <c r="E12" t="str">
        <f>RAW_ACDOCA!J12</f>
        <v>MAD</v>
      </c>
      <c r="F12">
        <f t="shared" si="0"/>
        <v>7025</v>
      </c>
      <c r="G12">
        <f t="shared" si="1"/>
        <v>60654</v>
      </c>
      <c r="H12">
        <f t="shared" si="2"/>
        <v>53629</v>
      </c>
      <c r="I12">
        <f t="shared" si="3"/>
        <v>141097.5</v>
      </c>
      <c r="J12" t="str">
        <f t="shared" si="4"/>
        <v>NORMAL</v>
      </c>
      <c r="K12" t="str">
        <f t="shared" si="5"/>
        <v>Aucune action</v>
      </c>
    </row>
    <row r="13" spans="1:11" x14ac:dyDescent="0.35">
      <c r="A13">
        <f>RAW_ACDOCA!A13</f>
        <v>100004</v>
      </c>
      <c r="B13">
        <f>ROW()</f>
        <v>13</v>
      </c>
      <c r="C13">
        <f>RAW_ACDOCA!D13</f>
        <v>711100</v>
      </c>
      <c r="D13">
        <f>RAW_ACDOCA!I13</f>
        <v>85000</v>
      </c>
      <c r="E13" t="str">
        <f>RAW_ACDOCA!J13</f>
        <v>MAD</v>
      </c>
      <c r="F13">
        <f t="shared" si="0"/>
        <v>7025</v>
      </c>
      <c r="G13">
        <f t="shared" si="1"/>
        <v>60654</v>
      </c>
      <c r="H13">
        <f t="shared" si="2"/>
        <v>53629</v>
      </c>
      <c r="I13">
        <f t="shared" si="3"/>
        <v>141097.5</v>
      </c>
      <c r="J13" t="str">
        <f t="shared" si="4"/>
        <v>NORMAL</v>
      </c>
      <c r="K13" t="str">
        <f t="shared" si="5"/>
        <v>Aucune action</v>
      </c>
    </row>
    <row r="14" spans="1:11" x14ac:dyDescent="0.35">
      <c r="A14">
        <f>RAW_ACDOCA!A14</f>
        <v>100005</v>
      </c>
      <c r="B14">
        <f>ROW()</f>
        <v>14</v>
      </c>
      <c r="C14">
        <f>RAW_ACDOCA!D14</f>
        <v>342100</v>
      </c>
      <c r="D14">
        <f>RAW_ACDOCA!I14</f>
        <v>41790</v>
      </c>
      <c r="E14" t="str">
        <f>RAW_ACDOCA!J14</f>
        <v>MAD</v>
      </c>
      <c r="F14">
        <f t="shared" si="0"/>
        <v>7025</v>
      </c>
      <c r="G14">
        <f t="shared" si="1"/>
        <v>60654</v>
      </c>
      <c r="H14">
        <f t="shared" si="2"/>
        <v>53629</v>
      </c>
      <c r="I14">
        <f t="shared" si="3"/>
        <v>141097.5</v>
      </c>
      <c r="J14" t="str">
        <f t="shared" si="4"/>
        <v>NORMAL</v>
      </c>
      <c r="K14" t="str">
        <f t="shared" si="5"/>
        <v>Aucune action</v>
      </c>
    </row>
    <row r="15" spans="1:11" x14ac:dyDescent="0.35">
      <c r="A15">
        <f>RAW_ACDOCA!A15</f>
        <v>100005</v>
      </c>
      <c r="B15">
        <f>ROW()</f>
        <v>15</v>
      </c>
      <c r="C15">
        <f>RAW_ACDOCA!D15</f>
        <v>712100</v>
      </c>
      <c r="D15">
        <f>RAW_ACDOCA!I15</f>
        <v>41790</v>
      </c>
      <c r="E15" t="str">
        <f>RAW_ACDOCA!J15</f>
        <v>MAD</v>
      </c>
      <c r="F15">
        <f t="shared" si="0"/>
        <v>7025</v>
      </c>
      <c r="G15">
        <f t="shared" si="1"/>
        <v>60654</v>
      </c>
      <c r="H15">
        <f t="shared" si="2"/>
        <v>53629</v>
      </c>
      <c r="I15">
        <f t="shared" si="3"/>
        <v>141097.5</v>
      </c>
      <c r="J15" t="str">
        <f t="shared" si="4"/>
        <v>NORMAL</v>
      </c>
      <c r="K15" t="str">
        <f t="shared" si="5"/>
        <v>Aucune action</v>
      </c>
    </row>
    <row r="16" spans="1:11" x14ac:dyDescent="0.35">
      <c r="A16">
        <f>RAW_ACDOCA!A16</f>
        <v>100006</v>
      </c>
      <c r="B16">
        <f>ROW()</f>
        <v>16</v>
      </c>
      <c r="C16">
        <f>RAW_ACDOCA!D16</f>
        <v>342100</v>
      </c>
      <c r="D16">
        <f>RAW_ACDOCA!I16</f>
        <v>72000</v>
      </c>
      <c r="E16" t="str">
        <f>RAW_ACDOCA!J16</f>
        <v>MAD</v>
      </c>
      <c r="F16">
        <f t="shared" si="0"/>
        <v>7025</v>
      </c>
      <c r="G16">
        <f t="shared" si="1"/>
        <v>60654</v>
      </c>
      <c r="H16">
        <f t="shared" si="2"/>
        <v>53629</v>
      </c>
      <c r="I16">
        <f t="shared" si="3"/>
        <v>141097.5</v>
      </c>
      <c r="J16" t="str">
        <f t="shared" si="4"/>
        <v>NORMAL</v>
      </c>
      <c r="K16" t="str">
        <f t="shared" si="5"/>
        <v>Aucune action</v>
      </c>
    </row>
    <row r="17" spans="1:11" x14ac:dyDescent="0.35">
      <c r="A17">
        <f>RAW_ACDOCA!A17</f>
        <v>100006</v>
      </c>
      <c r="B17">
        <f>ROW()</f>
        <v>17</v>
      </c>
      <c r="C17">
        <f>RAW_ACDOCA!D17</f>
        <v>514100</v>
      </c>
      <c r="D17">
        <f>RAW_ACDOCA!I17</f>
        <v>72000</v>
      </c>
      <c r="E17" t="str">
        <f>RAW_ACDOCA!J17</f>
        <v>MAD</v>
      </c>
      <c r="F17">
        <f t="shared" si="0"/>
        <v>7025</v>
      </c>
      <c r="G17">
        <f t="shared" si="1"/>
        <v>60654</v>
      </c>
      <c r="H17">
        <f t="shared" si="2"/>
        <v>53629</v>
      </c>
      <c r="I17">
        <f t="shared" si="3"/>
        <v>141097.5</v>
      </c>
      <c r="J17" t="str">
        <f t="shared" si="4"/>
        <v>NORMAL</v>
      </c>
      <c r="K17" t="str">
        <f t="shared" si="5"/>
        <v>Aucune action</v>
      </c>
    </row>
    <row r="18" spans="1:11" x14ac:dyDescent="0.35">
      <c r="A18">
        <f>RAW_ACDOCA!A18</f>
        <v>100007</v>
      </c>
      <c r="B18">
        <f>ROW()</f>
        <v>18</v>
      </c>
      <c r="C18">
        <f>RAW_ACDOCA!D18</f>
        <v>441100</v>
      </c>
      <c r="D18">
        <f>RAW_ACDOCA!I18</f>
        <v>42000</v>
      </c>
      <c r="E18" t="str">
        <f>RAW_ACDOCA!J18</f>
        <v>MAD</v>
      </c>
      <c r="F18">
        <f t="shared" si="0"/>
        <v>7025</v>
      </c>
      <c r="G18">
        <f t="shared" si="1"/>
        <v>60654</v>
      </c>
      <c r="H18">
        <f t="shared" si="2"/>
        <v>53629</v>
      </c>
      <c r="I18">
        <f t="shared" si="3"/>
        <v>141097.5</v>
      </c>
      <c r="J18" t="str">
        <f t="shared" si="4"/>
        <v>NORMAL</v>
      </c>
      <c r="K18" t="str">
        <f t="shared" si="5"/>
        <v>Aucune action</v>
      </c>
    </row>
    <row r="19" spans="1:11" x14ac:dyDescent="0.35">
      <c r="A19">
        <f>RAW_ACDOCA!A19</f>
        <v>100007</v>
      </c>
      <c r="B19">
        <f>ROW()</f>
        <v>19</v>
      </c>
      <c r="C19">
        <f>RAW_ACDOCA!D19</f>
        <v>514100</v>
      </c>
      <c r="D19">
        <f>RAW_ACDOCA!I19</f>
        <v>42000</v>
      </c>
      <c r="E19" t="str">
        <f>RAW_ACDOCA!J19</f>
        <v>MAD</v>
      </c>
      <c r="F19">
        <f t="shared" si="0"/>
        <v>7025</v>
      </c>
      <c r="G19">
        <f t="shared" si="1"/>
        <v>60654</v>
      </c>
      <c r="H19">
        <f t="shared" si="2"/>
        <v>53629</v>
      </c>
      <c r="I19">
        <f t="shared" si="3"/>
        <v>141097.5</v>
      </c>
      <c r="J19" t="str">
        <f t="shared" si="4"/>
        <v>NORMAL</v>
      </c>
      <c r="K19" t="str">
        <f t="shared" si="5"/>
        <v>Aucune action</v>
      </c>
    </row>
    <row r="20" spans="1:11" x14ac:dyDescent="0.35">
      <c r="A20">
        <f>RAW_ACDOCA!A20</f>
        <v>100008</v>
      </c>
      <c r="B20">
        <f>ROW()</f>
        <v>20</v>
      </c>
      <c r="C20">
        <f>RAW_ACDOCA!D20</f>
        <v>514100</v>
      </c>
      <c r="D20">
        <f>RAW_ACDOCA!I20</f>
        <v>36000</v>
      </c>
      <c r="E20" t="str">
        <f>RAW_ACDOCA!J20</f>
        <v>MAD</v>
      </c>
      <c r="F20">
        <f t="shared" si="0"/>
        <v>7025</v>
      </c>
      <c r="G20">
        <f t="shared" si="1"/>
        <v>60654</v>
      </c>
      <c r="H20">
        <f t="shared" si="2"/>
        <v>53629</v>
      </c>
      <c r="I20">
        <f t="shared" si="3"/>
        <v>141097.5</v>
      </c>
      <c r="J20" t="str">
        <f t="shared" si="4"/>
        <v>NORMAL</v>
      </c>
      <c r="K20" t="str">
        <f t="shared" si="5"/>
        <v>Aucune action</v>
      </c>
    </row>
    <row r="21" spans="1:11" x14ac:dyDescent="0.35">
      <c r="A21">
        <f>RAW_ACDOCA!A21</f>
        <v>100008</v>
      </c>
      <c r="B21">
        <f>ROW()</f>
        <v>21</v>
      </c>
      <c r="C21">
        <f>RAW_ACDOCA!D21</f>
        <v>617100</v>
      </c>
      <c r="D21">
        <f>RAW_ACDOCA!I21</f>
        <v>36000</v>
      </c>
      <c r="E21" t="str">
        <f>RAW_ACDOCA!J21</f>
        <v>MAD</v>
      </c>
      <c r="F21">
        <f t="shared" si="0"/>
        <v>7025</v>
      </c>
      <c r="G21">
        <f t="shared" si="1"/>
        <v>60654</v>
      </c>
      <c r="H21">
        <f t="shared" si="2"/>
        <v>53629</v>
      </c>
      <c r="I21">
        <f t="shared" si="3"/>
        <v>141097.5</v>
      </c>
      <c r="J21" t="str">
        <f t="shared" si="4"/>
        <v>NORMAL</v>
      </c>
      <c r="K21" t="str">
        <f t="shared" si="5"/>
        <v>Aucune action</v>
      </c>
    </row>
    <row r="22" spans="1:11" x14ac:dyDescent="0.35">
      <c r="A22">
        <f>RAW_ACDOCA!A22</f>
        <v>100009</v>
      </c>
      <c r="B22">
        <f>ROW()</f>
        <v>22</v>
      </c>
      <c r="C22">
        <f>RAW_ACDOCA!D22</f>
        <v>514100</v>
      </c>
      <c r="D22">
        <f>RAW_ACDOCA!I22</f>
        <v>9500</v>
      </c>
      <c r="E22" t="str">
        <f>RAW_ACDOCA!J22</f>
        <v>MAD</v>
      </c>
      <c r="F22">
        <f t="shared" si="0"/>
        <v>7025</v>
      </c>
      <c r="G22">
        <f t="shared" si="1"/>
        <v>60654</v>
      </c>
      <c r="H22">
        <f t="shared" si="2"/>
        <v>53629</v>
      </c>
      <c r="I22">
        <f t="shared" si="3"/>
        <v>141097.5</v>
      </c>
      <c r="J22" t="str">
        <f t="shared" si="4"/>
        <v>NORMAL</v>
      </c>
      <c r="K22" t="str">
        <f t="shared" si="5"/>
        <v>Aucune action</v>
      </c>
    </row>
    <row r="23" spans="1:11" x14ac:dyDescent="0.35">
      <c r="A23">
        <f>RAW_ACDOCA!A23</f>
        <v>100009</v>
      </c>
      <c r="B23">
        <f>ROW()</f>
        <v>23</v>
      </c>
      <c r="C23">
        <f>RAW_ACDOCA!D23</f>
        <v>613100</v>
      </c>
      <c r="D23">
        <f>RAW_ACDOCA!I23</f>
        <v>9500</v>
      </c>
      <c r="E23" t="str">
        <f>RAW_ACDOCA!J23</f>
        <v>MAD</v>
      </c>
      <c r="F23">
        <f t="shared" si="0"/>
        <v>7025</v>
      </c>
      <c r="G23">
        <f t="shared" si="1"/>
        <v>60654</v>
      </c>
      <c r="H23">
        <f t="shared" si="2"/>
        <v>53629</v>
      </c>
      <c r="I23">
        <f t="shared" si="3"/>
        <v>141097.5</v>
      </c>
      <c r="J23" t="str">
        <f t="shared" si="4"/>
        <v>NORMAL</v>
      </c>
      <c r="K23" t="str">
        <f t="shared" si="5"/>
        <v>Aucune action</v>
      </c>
    </row>
    <row r="24" spans="1:11" x14ac:dyDescent="0.35">
      <c r="A24">
        <f>RAW_ACDOCA!A24</f>
        <v>100010</v>
      </c>
      <c r="B24">
        <f>ROW()</f>
        <v>24</v>
      </c>
      <c r="C24">
        <f>RAW_ACDOCA!D24</f>
        <v>514100</v>
      </c>
      <c r="D24">
        <f>RAW_ACDOCA!I24</f>
        <v>6200</v>
      </c>
      <c r="E24" t="str">
        <f>RAW_ACDOCA!J24</f>
        <v>MAD</v>
      </c>
      <c r="F24">
        <f t="shared" si="0"/>
        <v>7025</v>
      </c>
      <c r="G24">
        <f t="shared" si="1"/>
        <v>60654</v>
      </c>
      <c r="H24">
        <f t="shared" si="2"/>
        <v>53629</v>
      </c>
      <c r="I24">
        <f t="shared" si="3"/>
        <v>141097.5</v>
      </c>
      <c r="J24" t="str">
        <f t="shared" si="4"/>
        <v>NORMAL</v>
      </c>
      <c r="K24" t="str">
        <f t="shared" si="5"/>
        <v>Aucune action</v>
      </c>
    </row>
    <row r="25" spans="1:11" x14ac:dyDescent="0.35">
      <c r="A25">
        <f>RAW_ACDOCA!A25</f>
        <v>100010</v>
      </c>
      <c r="B25">
        <f>ROW()</f>
        <v>25</v>
      </c>
      <c r="C25">
        <f>RAW_ACDOCA!D25</f>
        <v>514100</v>
      </c>
      <c r="D25">
        <f>RAW_ACDOCA!I25</f>
        <v>6200</v>
      </c>
      <c r="E25" t="str">
        <f>RAW_ACDOCA!J25</f>
        <v>MAD</v>
      </c>
      <c r="F25">
        <f t="shared" si="0"/>
        <v>7025</v>
      </c>
      <c r="G25">
        <f t="shared" si="1"/>
        <v>60654</v>
      </c>
      <c r="H25">
        <f t="shared" si="2"/>
        <v>53629</v>
      </c>
      <c r="I25">
        <f t="shared" si="3"/>
        <v>141097.5</v>
      </c>
      <c r="J25" t="str">
        <f t="shared" si="4"/>
        <v>NORMAL</v>
      </c>
      <c r="K25" t="str">
        <f t="shared" si="5"/>
        <v>Aucune action</v>
      </c>
    </row>
    <row r="26" spans="1:11" x14ac:dyDescent="0.35">
      <c r="A26">
        <f>RAW_ACDOCA!A26</f>
        <v>100010</v>
      </c>
      <c r="B26">
        <f>ROW()</f>
        <v>26</v>
      </c>
      <c r="C26">
        <f>RAW_ACDOCA!D26</f>
        <v>614100</v>
      </c>
      <c r="D26">
        <f>RAW_ACDOCA!I26</f>
        <v>6200</v>
      </c>
      <c r="E26" t="str">
        <f>RAW_ACDOCA!J26</f>
        <v>MAD</v>
      </c>
      <c r="F26">
        <f t="shared" si="0"/>
        <v>7025</v>
      </c>
      <c r="G26">
        <f t="shared" si="1"/>
        <v>60654</v>
      </c>
      <c r="H26">
        <f t="shared" si="2"/>
        <v>53629</v>
      </c>
      <c r="I26">
        <f t="shared" si="3"/>
        <v>141097.5</v>
      </c>
      <c r="J26" t="str">
        <f t="shared" si="4"/>
        <v>NORMAL</v>
      </c>
      <c r="K26" t="str">
        <f t="shared" si="5"/>
        <v>Aucune action</v>
      </c>
    </row>
    <row r="27" spans="1:11" x14ac:dyDescent="0.35">
      <c r="A27">
        <f>RAW_ACDOCA!A27</f>
        <v>100011</v>
      </c>
      <c r="B27">
        <f>ROW()</f>
        <v>27</v>
      </c>
      <c r="C27">
        <f>RAW_ACDOCA!D27</f>
        <v>514100</v>
      </c>
      <c r="D27">
        <f>RAW_ACDOCA!I27</f>
        <v>4500</v>
      </c>
      <c r="E27" t="str">
        <f>RAW_ACDOCA!J27</f>
        <v>MAD</v>
      </c>
      <c r="F27">
        <f t="shared" si="0"/>
        <v>7025</v>
      </c>
      <c r="G27">
        <f t="shared" si="1"/>
        <v>60654</v>
      </c>
      <c r="H27">
        <f t="shared" si="2"/>
        <v>53629</v>
      </c>
      <c r="I27">
        <f t="shared" si="3"/>
        <v>141097.5</v>
      </c>
      <c r="J27" t="str">
        <f t="shared" si="4"/>
        <v>NORMAL</v>
      </c>
      <c r="K27" t="str">
        <f t="shared" si="5"/>
        <v>Aucune action</v>
      </c>
    </row>
    <row r="28" spans="1:11" x14ac:dyDescent="0.35">
      <c r="A28">
        <f>RAW_ACDOCA!A28</f>
        <v>100011</v>
      </c>
      <c r="B28">
        <f>ROW()</f>
        <v>28</v>
      </c>
      <c r="C28">
        <f>RAW_ACDOCA!D28</f>
        <v>618100</v>
      </c>
      <c r="D28">
        <f>RAW_ACDOCA!I28</f>
        <v>4500</v>
      </c>
      <c r="E28" t="str">
        <f>RAW_ACDOCA!J28</f>
        <v>MAD</v>
      </c>
      <c r="F28">
        <f t="shared" si="0"/>
        <v>7025</v>
      </c>
      <c r="G28">
        <f t="shared" si="1"/>
        <v>60654</v>
      </c>
      <c r="H28">
        <f t="shared" si="2"/>
        <v>53629</v>
      </c>
      <c r="I28">
        <f t="shared" si="3"/>
        <v>141097.5</v>
      </c>
      <c r="J28" t="str">
        <f t="shared" si="4"/>
        <v>NORMAL</v>
      </c>
      <c r="K28" t="str">
        <f t="shared" si="5"/>
        <v>Aucune action</v>
      </c>
    </row>
    <row r="29" spans="1:11" x14ac:dyDescent="0.35">
      <c r="A29">
        <f>RAW_ACDOCA!A29</f>
        <v>100012</v>
      </c>
      <c r="B29">
        <f>ROW()</f>
        <v>29</v>
      </c>
      <c r="C29">
        <f>RAW_ACDOCA!D29</f>
        <v>311100</v>
      </c>
      <c r="D29">
        <f>RAW_ACDOCA!I29</f>
        <v>7000</v>
      </c>
      <c r="E29" t="str">
        <f>RAW_ACDOCA!J29</f>
        <v>MAD</v>
      </c>
      <c r="F29">
        <f t="shared" si="0"/>
        <v>7025</v>
      </c>
      <c r="G29">
        <f t="shared" si="1"/>
        <v>60654</v>
      </c>
      <c r="H29">
        <f t="shared" si="2"/>
        <v>53629</v>
      </c>
      <c r="I29">
        <f t="shared" si="3"/>
        <v>141097.5</v>
      </c>
      <c r="J29" t="str">
        <f t="shared" si="4"/>
        <v>NORMAL</v>
      </c>
      <c r="K29" t="str">
        <f t="shared" si="5"/>
        <v>Aucune action</v>
      </c>
    </row>
    <row r="30" spans="1:11" x14ac:dyDescent="0.35">
      <c r="A30">
        <f>RAW_ACDOCA!A30</f>
        <v>100012</v>
      </c>
      <c r="B30">
        <f>ROW()</f>
        <v>30</v>
      </c>
      <c r="C30">
        <f>RAW_ACDOCA!D30</f>
        <v>611100</v>
      </c>
      <c r="D30">
        <f>RAW_ACDOCA!I30</f>
        <v>7000</v>
      </c>
      <c r="E30" t="str">
        <f>RAW_ACDOCA!J30</f>
        <v>MAD</v>
      </c>
      <c r="F30">
        <f t="shared" si="0"/>
        <v>7025</v>
      </c>
      <c r="G30">
        <f t="shared" si="1"/>
        <v>60654</v>
      </c>
      <c r="H30">
        <f t="shared" si="2"/>
        <v>53629</v>
      </c>
      <c r="I30">
        <f t="shared" si="3"/>
        <v>141097.5</v>
      </c>
      <c r="J30" t="str">
        <f t="shared" si="4"/>
        <v>NORMAL</v>
      </c>
      <c r="K30" t="str">
        <f t="shared" si="5"/>
        <v>Aucune action</v>
      </c>
    </row>
    <row r="31" spans="1:11" x14ac:dyDescent="0.35">
      <c r="A31">
        <f>RAW_ACDOCA!A31</f>
        <v>100013</v>
      </c>
      <c r="B31">
        <f>ROW()</f>
        <v>31</v>
      </c>
      <c r="C31">
        <f>RAW_ACDOCA!D31</f>
        <v>514100</v>
      </c>
      <c r="D31">
        <f>RAW_ACDOCA!I31</f>
        <v>6500</v>
      </c>
      <c r="E31" t="str">
        <f>RAW_ACDOCA!J31</f>
        <v>MAD</v>
      </c>
      <c r="F31">
        <f t="shared" si="0"/>
        <v>7025</v>
      </c>
      <c r="G31">
        <f t="shared" si="1"/>
        <v>60654</v>
      </c>
      <c r="H31">
        <f t="shared" si="2"/>
        <v>53629</v>
      </c>
      <c r="I31">
        <f t="shared" si="3"/>
        <v>141097.5</v>
      </c>
      <c r="J31" t="str">
        <f t="shared" si="4"/>
        <v>NORMAL</v>
      </c>
      <c r="K31" t="str">
        <f t="shared" si="5"/>
        <v>Aucune action</v>
      </c>
    </row>
    <row r="32" spans="1:11" x14ac:dyDescent="0.35">
      <c r="A32">
        <f>RAW_ACDOCA!A32</f>
        <v>100013</v>
      </c>
      <c r="B32">
        <f>ROW()</f>
        <v>32</v>
      </c>
      <c r="C32">
        <f>RAW_ACDOCA!D32</f>
        <v>619100</v>
      </c>
      <c r="D32">
        <f>RAW_ACDOCA!I32</f>
        <v>6500</v>
      </c>
      <c r="E32" t="str">
        <f>RAW_ACDOCA!J32</f>
        <v>MAD</v>
      </c>
      <c r="F32">
        <f t="shared" si="0"/>
        <v>7025</v>
      </c>
      <c r="G32">
        <f t="shared" si="1"/>
        <v>60654</v>
      </c>
      <c r="H32">
        <f t="shared" si="2"/>
        <v>53629</v>
      </c>
      <c r="I32">
        <f t="shared" si="3"/>
        <v>141097.5</v>
      </c>
      <c r="J32" t="str">
        <f t="shared" si="4"/>
        <v>NORMAL</v>
      </c>
      <c r="K32" t="str">
        <f t="shared" si="5"/>
        <v>Aucune action</v>
      </c>
    </row>
    <row r="33" spans="1:11" x14ac:dyDescent="0.35">
      <c r="A33">
        <f>RAW_ACDOCA!A33</f>
        <v>100014</v>
      </c>
      <c r="B33">
        <f>ROW()</f>
        <v>33</v>
      </c>
      <c r="C33">
        <f>RAW_ACDOCA!D33</f>
        <v>345500</v>
      </c>
      <c r="D33">
        <f>RAW_ACDOCA!I33</f>
        <v>13600</v>
      </c>
      <c r="E33" t="str">
        <f>RAW_ACDOCA!J33</f>
        <v>MAD</v>
      </c>
      <c r="F33">
        <f t="shared" si="0"/>
        <v>7025</v>
      </c>
      <c r="G33">
        <f t="shared" si="1"/>
        <v>60654</v>
      </c>
      <c r="H33">
        <f t="shared" si="2"/>
        <v>53629</v>
      </c>
      <c r="I33">
        <f t="shared" si="3"/>
        <v>141097.5</v>
      </c>
      <c r="J33" t="str">
        <f t="shared" si="4"/>
        <v>NORMAL</v>
      </c>
      <c r="K33" t="str">
        <f t="shared" si="5"/>
        <v>Aucune action</v>
      </c>
    </row>
    <row r="34" spans="1:11" x14ac:dyDescent="0.35">
      <c r="A34">
        <f>RAW_ACDOCA!A34</f>
        <v>100014</v>
      </c>
      <c r="B34">
        <f>ROW()</f>
        <v>34</v>
      </c>
      <c r="C34">
        <f>RAW_ACDOCA!D34</f>
        <v>441100</v>
      </c>
      <c r="D34">
        <f>RAW_ACDOCA!I34</f>
        <v>81600</v>
      </c>
      <c r="E34" t="str">
        <f>RAW_ACDOCA!J34</f>
        <v>MAD</v>
      </c>
      <c r="F34">
        <f t="shared" si="0"/>
        <v>7025</v>
      </c>
      <c r="G34">
        <f t="shared" si="1"/>
        <v>60654</v>
      </c>
      <c r="H34">
        <f t="shared" si="2"/>
        <v>53629</v>
      </c>
      <c r="I34">
        <f t="shared" si="3"/>
        <v>141097.5</v>
      </c>
      <c r="J34" t="str">
        <f t="shared" si="4"/>
        <v>NORMAL</v>
      </c>
      <c r="K34" t="str">
        <f t="shared" si="5"/>
        <v>Aucune action</v>
      </c>
    </row>
    <row r="35" spans="1:11" x14ac:dyDescent="0.35">
      <c r="A35">
        <f>RAW_ACDOCA!A35</f>
        <v>100014</v>
      </c>
      <c r="B35">
        <f>ROW()</f>
        <v>35</v>
      </c>
      <c r="C35">
        <f>RAW_ACDOCA!D35</f>
        <v>611100</v>
      </c>
      <c r="D35">
        <f>RAW_ACDOCA!I35</f>
        <v>68000</v>
      </c>
      <c r="E35" t="str">
        <f>RAW_ACDOCA!J35</f>
        <v>MAD</v>
      </c>
      <c r="F35">
        <f t="shared" si="0"/>
        <v>7025</v>
      </c>
      <c r="G35">
        <f t="shared" si="1"/>
        <v>60654</v>
      </c>
      <c r="H35">
        <f t="shared" si="2"/>
        <v>53629</v>
      </c>
      <c r="I35">
        <f t="shared" si="3"/>
        <v>141097.5</v>
      </c>
      <c r="J35" t="str">
        <f t="shared" si="4"/>
        <v>NORMAL</v>
      </c>
      <c r="K35" t="str">
        <f t="shared" si="5"/>
        <v>Aucune action</v>
      </c>
    </row>
    <row r="36" spans="1:11" x14ac:dyDescent="0.35">
      <c r="A36">
        <f>RAW_ACDOCA!A36</f>
        <v>100015</v>
      </c>
      <c r="B36">
        <f>ROW()</f>
        <v>36</v>
      </c>
      <c r="C36">
        <f>RAW_ACDOCA!D36</f>
        <v>345500</v>
      </c>
      <c r="D36">
        <f>RAW_ACDOCA!I36</f>
        <v>8790.4</v>
      </c>
      <c r="E36" t="str">
        <f>RAW_ACDOCA!J36</f>
        <v>MAD</v>
      </c>
      <c r="F36">
        <f t="shared" si="0"/>
        <v>7025</v>
      </c>
      <c r="G36">
        <f t="shared" si="1"/>
        <v>60654</v>
      </c>
      <c r="H36">
        <f t="shared" si="2"/>
        <v>53629</v>
      </c>
      <c r="I36">
        <f t="shared" si="3"/>
        <v>141097.5</v>
      </c>
      <c r="J36" t="str">
        <f t="shared" si="4"/>
        <v>NORMAL</v>
      </c>
      <c r="K36" t="str">
        <f t="shared" si="5"/>
        <v>Aucune action</v>
      </c>
    </row>
    <row r="37" spans="1:11" x14ac:dyDescent="0.35">
      <c r="A37">
        <f>RAW_ACDOCA!A37</f>
        <v>100015</v>
      </c>
      <c r="B37">
        <f>ROW()</f>
        <v>37</v>
      </c>
      <c r="C37">
        <f>RAW_ACDOCA!D37</f>
        <v>441100</v>
      </c>
      <c r="D37">
        <f>RAW_ACDOCA!I37</f>
        <v>52742.400000000001</v>
      </c>
      <c r="E37" t="str">
        <f>RAW_ACDOCA!J37</f>
        <v>MAD</v>
      </c>
      <c r="F37">
        <f t="shared" si="0"/>
        <v>7025</v>
      </c>
      <c r="G37">
        <f t="shared" si="1"/>
        <v>60654</v>
      </c>
      <c r="H37">
        <f t="shared" si="2"/>
        <v>53629</v>
      </c>
      <c r="I37">
        <f t="shared" si="3"/>
        <v>141097.5</v>
      </c>
      <c r="J37" t="str">
        <f t="shared" si="4"/>
        <v>NORMAL</v>
      </c>
      <c r="K37" t="str">
        <f t="shared" si="5"/>
        <v>Aucune action</v>
      </c>
    </row>
    <row r="38" spans="1:11" x14ac:dyDescent="0.35">
      <c r="A38">
        <f>RAW_ACDOCA!A38</f>
        <v>100015</v>
      </c>
      <c r="B38">
        <f>ROW()</f>
        <v>38</v>
      </c>
      <c r="C38">
        <f>RAW_ACDOCA!D38</f>
        <v>611100</v>
      </c>
      <c r="D38">
        <f>RAW_ACDOCA!I38</f>
        <v>43952</v>
      </c>
      <c r="E38" t="str">
        <f>RAW_ACDOCA!J38</f>
        <v>MAD</v>
      </c>
      <c r="F38">
        <f t="shared" si="0"/>
        <v>7025</v>
      </c>
      <c r="G38">
        <f t="shared" si="1"/>
        <v>60654</v>
      </c>
      <c r="H38">
        <f t="shared" si="2"/>
        <v>53629</v>
      </c>
      <c r="I38">
        <f t="shared" si="3"/>
        <v>141097.5</v>
      </c>
      <c r="J38" t="str">
        <f t="shared" si="4"/>
        <v>NORMAL</v>
      </c>
      <c r="K38" t="str">
        <f t="shared" si="5"/>
        <v>Aucune action</v>
      </c>
    </row>
    <row r="39" spans="1:11" x14ac:dyDescent="0.35">
      <c r="A39">
        <f>RAW_ACDOCA!A39</f>
        <v>100016</v>
      </c>
      <c r="B39">
        <f>ROW()</f>
        <v>39</v>
      </c>
      <c r="C39">
        <f>RAW_ACDOCA!D39</f>
        <v>342100</v>
      </c>
      <c r="D39">
        <f>RAW_ACDOCA!I39</f>
        <v>110400</v>
      </c>
      <c r="E39" t="str">
        <f>RAW_ACDOCA!J39</f>
        <v>MAD</v>
      </c>
      <c r="F39">
        <f t="shared" si="0"/>
        <v>7025</v>
      </c>
      <c r="G39">
        <f t="shared" si="1"/>
        <v>60654</v>
      </c>
      <c r="H39">
        <f t="shared" si="2"/>
        <v>53629</v>
      </c>
      <c r="I39">
        <f t="shared" si="3"/>
        <v>141097.5</v>
      </c>
      <c r="J39" t="str">
        <f t="shared" si="4"/>
        <v>NORMAL</v>
      </c>
      <c r="K39" t="str">
        <f t="shared" si="5"/>
        <v>Aucune action</v>
      </c>
    </row>
    <row r="40" spans="1:11" x14ac:dyDescent="0.35">
      <c r="A40">
        <f>RAW_ACDOCA!A40</f>
        <v>100016</v>
      </c>
      <c r="B40">
        <f>ROW()</f>
        <v>40</v>
      </c>
      <c r="C40">
        <f>RAW_ACDOCA!D40</f>
        <v>445500</v>
      </c>
      <c r="D40">
        <f>RAW_ACDOCA!I40</f>
        <v>18400</v>
      </c>
      <c r="E40" t="str">
        <f>RAW_ACDOCA!J40</f>
        <v>MAD</v>
      </c>
      <c r="F40">
        <f t="shared" si="0"/>
        <v>7025</v>
      </c>
      <c r="G40">
        <f t="shared" si="1"/>
        <v>60654</v>
      </c>
      <c r="H40">
        <f t="shared" si="2"/>
        <v>53629</v>
      </c>
      <c r="I40">
        <f t="shared" si="3"/>
        <v>141097.5</v>
      </c>
      <c r="J40" t="str">
        <f t="shared" si="4"/>
        <v>NORMAL</v>
      </c>
      <c r="K40" t="str">
        <f t="shared" si="5"/>
        <v>Aucune action</v>
      </c>
    </row>
    <row r="41" spans="1:11" x14ac:dyDescent="0.35">
      <c r="A41">
        <f>RAW_ACDOCA!A41</f>
        <v>100016</v>
      </c>
      <c r="B41">
        <f>ROW()</f>
        <v>41</v>
      </c>
      <c r="C41">
        <f>RAW_ACDOCA!D41</f>
        <v>711100</v>
      </c>
      <c r="D41">
        <f>RAW_ACDOCA!I41</f>
        <v>92000</v>
      </c>
      <c r="E41" t="str">
        <f>RAW_ACDOCA!J41</f>
        <v>MAD</v>
      </c>
      <c r="F41">
        <f t="shared" si="0"/>
        <v>7025</v>
      </c>
      <c r="G41">
        <f t="shared" si="1"/>
        <v>60654</v>
      </c>
      <c r="H41">
        <f t="shared" si="2"/>
        <v>53629</v>
      </c>
      <c r="I41">
        <f t="shared" si="3"/>
        <v>141097.5</v>
      </c>
      <c r="J41" t="str">
        <f t="shared" si="4"/>
        <v>NORMAL</v>
      </c>
      <c r="K41" t="str">
        <f t="shared" si="5"/>
        <v>Aucune action</v>
      </c>
    </row>
    <row r="42" spans="1:11" x14ac:dyDescent="0.35">
      <c r="A42">
        <f>RAW_ACDOCA!A42</f>
        <v>100017</v>
      </c>
      <c r="B42">
        <f>ROW()</f>
        <v>42</v>
      </c>
      <c r="C42">
        <f>RAW_ACDOCA!D42</f>
        <v>342100</v>
      </c>
      <c r="D42">
        <f>RAW_ACDOCA!I42</f>
        <v>50082</v>
      </c>
      <c r="E42" t="str">
        <f>RAW_ACDOCA!J42</f>
        <v>MAD</v>
      </c>
      <c r="F42">
        <f t="shared" si="0"/>
        <v>7025</v>
      </c>
      <c r="G42">
        <f t="shared" si="1"/>
        <v>60654</v>
      </c>
      <c r="H42">
        <f t="shared" si="2"/>
        <v>53629</v>
      </c>
      <c r="I42">
        <f t="shared" si="3"/>
        <v>141097.5</v>
      </c>
      <c r="J42" t="str">
        <f t="shared" si="4"/>
        <v>NORMAL</v>
      </c>
      <c r="K42" t="str">
        <f t="shared" si="5"/>
        <v>Aucune action</v>
      </c>
    </row>
    <row r="43" spans="1:11" x14ac:dyDescent="0.35">
      <c r="A43">
        <f>RAW_ACDOCA!A43</f>
        <v>100017</v>
      </c>
      <c r="B43">
        <f>ROW()</f>
        <v>43</v>
      </c>
      <c r="C43">
        <f>RAW_ACDOCA!D43</f>
        <v>712100</v>
      </c>
      <c r="D43">
        <f>RAW_ACDOCA!I43</f>
        <v>50082</v>
      </c>
      <c r="E43" t="str">
        <f>RAW_ACDOCA!J43</f>
        <v>MAD</v>
      </c>
      <c r="F43">
        <f t="shared" si="0"/>
        <v>7025</v>
      </c>
      <c r="G43">
        <f t="shared" si="1"/>
        <v>60654</v>
      </c>
      <c r="H43">
        <f t="shared" si="2"/>
        <v>53629</v>
      </c>
      <c r="I43">
        <f t="shared" si="3"/>
        <v>141097.5</v>
      </c>
      <c r="J43" t="str">
        <f t="shared" si="4"/>
        <v>NORMAL</v>
      </c>
      <c r="K43" t="str">
        <f t="shared" si="5"/>
        <v>Aucune action</v>
      </c>
    </row>
    <row r="44" spans="1:11" x14ac:dyDescent="0.35">
      <c r="A44">
        <f>RAW_ACDOCA!A44</f>
        <v>100018</v>
      </c>
      <c r="B44">
        <f>ROW()</f>
        <v>44</v>
      </c>
      <c r="C44">
        <f>RAW_ACDOCA!D44</f>
        <v>342100</v>
      </c>
      <c r="D44">
        <f>RAW_ACDOCA!I44</f>
        <v>80000</v>
      </c>
      <c r="E44" t="str">
        <f>RAW_ACDOCA!J44</f>
        <v>MAD</v>
      </c>
      <c r="F44">
        <f t="shared" si="0"/>
        <v>7025</v>
      </c>
      <c r="G44">
        <f t="shared" si="1"/>
        <v>60654</v>
      </c>
      <c r="H44">
        <f t="shared" si="2"/>
        <v>53629</v>
      </c>
      <c r="I44">
        <f t="shared" si="3"/>
        <v>141097.5</v>
      </c>
      <c r="J44" t="str">
        <f t="shared" si="4"/>
        <v>NORMAL</v>
      </c>
      <c r="K44" t="str">
        <f t="shared" si="5"/>
        <v>Aucune action</v>
      </c>
    </row>
    <row r="45" spans="1:11" x14ac:dyDescent="0.35">
      <c r="A45">
        <f>RAW_ACDOCA!A45</f>
        <v>100018</v>
      </c>
      <c r="B45">
        <f>ROW()</f>
        <v>45</v>
      </c>
      <c r="C45">
        <f>RAW_ACDOCA!D45</f>
        <v>514100</v>
      </c>
      <c r="D45">
        <f>RAW_ACDOCA!I45</f>
        <v>80000</v>
      </c>
      <c r="E45" t="str">
        <f>RAW_ACDOCA!J45</f>
        <v>MAD</v>
      </c>
      <c r="F45">
        <f t="shared" si="0"/>
        <v>7025</v>
      </c>
      <c r="G45">
        <f t="shared" si="1"/>
        <v>60654</v>
      </c>
      <c r="H45">
        <f t="shared" si="2"/>
        <v>53629</v>
      </c>
      <c r="I45">
        <f t="shared" si="3"/>
        <v>141097.5</v>
      </c>
      <c r="J45" t="str">
        <f t="shared" si="4"/>
        <v>NORMAL</v>
      </c>
      <c r="K45" t="str">
        <f t="shared" si="5"/>
        <v>Aucune action</v>
      </c>
    </row>
    <row r="46" spans="1:11" x14ac:dyDescent="0.35">
      <c r="A46">
        <f>RAW_ACDOCA!A46</f>
        <v>100019</v>
      </c>
      <c r="B46">
        <f>ROW()</f>
        <v>46</v>
      </c>
      <c r="C46">
        <f>RAW_ACDOCA!D46</f>
        <v>441100</v>
      </c>
      <c r="D46">
        <f>RAW_ACDOCA!I46</f>
        <v>56000</v>
      </c>
      <c r="E46" t="str">
        <f>RAW_ACDOCA!J46</f>
        <v>MAD</v>
      </c>
      <c r="F46">
        <f t="shared" si="0"/>
        <v>7025</v>
      </c>
      <c r="G46">
        <f t="shared" si="1"/>
        <v>60654</v>
      </c>
      <c r="H46">
        <f t="shared" si="2"/>
        <v>53629</v>
      </c>
      <c r="I46">
        <f t="shared" si="3"/>
        <v>141097.5</v>
      </c>
      <c r="J46" t="str">
        <f t="shared" si="4"/>
        <v>NORMAL</v>
      </c>
      <c r="K46" t="str">
        <f t="shared" si="5"/>
        <v>Aucune action</v>
      </c>
    </row>
    <row r="47" spans="1:11" x14ac:dyDescent="0.35">
      <c r="A47">
        <f>RAW_ACDOCA!A47</f>
        <v>100019</v>
      </c>
      <c r="B47">
        <f>ROW()</f>
        <v>47</v>
      </c>
      <c r="C47">
        <f>RAW_ACDOCA!D47</f>
        <v>514100</v>
      </c>
      <c r="D47">
        <f>RAW_ACDOCA!I47</f>
        <v>56000</v>
      </c>
      <c r="E47" t="str">
        <f>RAW_ACDOCA!J47</f>
        <v>MAD</v>
      </c>
      <c r="F47">
        <f t="shared" si="0"/>
        <v>7025</v>
      </c>
      <c r="G47">
        <f t="shared" si="1"/>
        <v>60654</v>
      </c>
      <c r="H47">
        <f t="shared" si="2"/>
        <v>53629</v>
      </c>
      <c r="I47">
        <f t="shared" si="3"/>
        <v>141097.5</v>
      </c>
      <c r="J47" t="str">
        <f t="shared" si="4"/>
        <v>NORMAL</v>
      </c>
      <c r="K47" t="str">
        <f t="shared" si="5"/>
        <v>Aucune action</v>
      </c>
    </row>
    <row r="48" spans="1:11" x14ac:dyDescent="0.35">
      <c r="A48">
        <f>RAW_ACDOCA!A48</f>
        <v>100020</v>
      </c>
      <c r="B48">
        <f>ROW()</f>
        <v>48</v>
      </c>
      <c r="C48">
        <f>RAW_ACDOCA!D48</f>
        <v>514100</v>
      </c>
      <c r="D48">
        <f>RAW_ACDOCA!I48</f>
        <v>36500</v>
      </c>
      <c r="E48" t="str">
        <f>RAW_ACDOCA!J48</f>
        <v>MAD</v>
      </c>
      <c r="F48">
        <f t="shared" si="0"/>
        <v>7025</v>
      </c>
      <c r="G48">
        <f t="shared" si="1"/>
        <v>60654</v>
      </c>
      <c r="H48">
        <f t="shared" si="2"/>
        <v>53629</v>
      </c>
      <c r="I48">
        <f t="shared" si="3"/>
        <v>141097.5</v>
      </c>
      <c r="J48" t="str">
        <f t="shared" si="4"/>
        <v>NORMAL</v>
      </c>
      <c r="K48" t="str">
        <f t="shared" si="5"/>
        <v>Aucune action</v>
      </c>
    </row>
    <row r="49" spans="1:11" x14ac:dyDescent="0.35">
      <c r="A49">
        <f>RAW_ACDOCA!A49</f>
        <v>100020</v>
      </c>
      <c r="B49">
        <f>ROW()</f>
        <v>49</v>
      </c>
      <c r="C49">
        <f>RAW_ACDOCA!D49</f>
        <v>617100</v>
      </c>
      <c r="D49">
        <f>RAW_ACDOCA!I49</f>
        <v>36500</v>
      </c>
      <c r="E49" t="str">
        <f>RAW_ACDOCA!J49</f>
        <v>MAD</v>
      </c>
      <c r="F49">
        <f t="shared" si="0"/>
        <v>7025</v>
      </c>
      <c r="G49">
        <f t="shared" si="1"/>
        <v>60654</v>
      </c>
      <c r="H49">
        <f t="shared" si="2"/>
        <v>53629</v>
      </c>
      <c r="I49">
        <f t="shared" si="3"/>
        <v>141097.5</v>
      </c>
      <c r="J49" t="str">
        <f t="shared" si="4"/>
        <v>NORMAL</v>
      </c>
      <c r="K49" t="str">
        <f t="shared" si="5"/>
        <v>Aucune action</v>
      </c>
    </row>
    <row r="50" spans="1:11" x14ac:dyDescent="0.35">
      <c r="A50">
        <f>RAW_ACDOCA!A50</f>
        <v>100021</v>
      </c>
      <c r="B50">
        <f>ROW()</f>
        <v>50</v>
      </c>
      <c r="C50">
        <f>RAW_ACDOCA!D50</f>
        <v>514100</v>
      </c>
      <c r="D50">
        <f>RAW_ACDOCA!I50</f>
        <v>9500</v>
      </c>
      <c r="E50" t="str">
        <f>RAW_ACDOCA!J50</f>
        <v>MAD</v>
      </c>
      <c r="F50">
        <f t="shared" si="0"/>
        <v>7025</v>
      </c>
      <c r="G50">
        <f t="shared" si="1"/>
        <v>60654</v>
      </c>
      <c r="H50">
        <f t="shared" si="2"/>
        <v>53629</v>
      </c>
      <c r="I50">
        <f t="shared" si="3"/>
        <v>141097.5</v>
      </c>
      <c r="J50" t="str">
        <f t="shared" si="4"/>
        <v>NORMAL</v>
      </c>
      <c r="K50" t="str">
        <f t="shared" si="5"/>
        <v>Aucune action</v>
      </c>
    </row>
    <row r="51" spans="1:11" x14ac:dyDescent="0.35">
      <c r="A51">
        <f>RAW_ACDOCA!A51</f>
        <v>100021</v>
      </c>
      <c r="B51">
        <f>ROW()</f>
        <v>51</v>
      </c>
      <c r="C51">
        <f>RAW_ACDOCA!D51</f>
        <v>613100</v>
      </c>
      <c r="D51">
        <f>RAW_ACDOCA!I51</f>
        <v>9500</v>
      </c>
      <c r="E51" t="str">
        <f>RAW_ACDOCA!J51</f>
        <v>MAD</v>
      </c>
      <c r="F51">
        <f t="shared" si="0"/>
        <v>7025</v>
      </c>
      <c r="G51">
        <f t="shared" si="1"/>
        <v>60654</v>
      </c>
      <c r="H51">
        <f t="shared" si="2"/>
        <v>53629</v>
      </c>
      <c r="I51">
        <f t="shared" si="3"/>
        <v>141097.5</v>
      </c>
      <c r="J51" t="str">
        <f t="shared" si="4"/>
        <v>NORMAL</v>
      </c>
      <c r="K51" t="str">
        <f t="shared" si="5"/>
        <v>Aucune action</v>
      </c>
    </row>
    <row r="52" spans="1:11" x14ac:dyDescent="0.35">
      <c r="A52">
        <f>RAW_ACDOCA!A52</f>
        <v>100022</v>
      </c>
      <c r="B52">
        <f>ROW()</f>
        <v>52</v>
      </c>
      <c r="C52">
        <f>RAW_ACDOCA!D52</f>
        <v>514100</v>
      </c>
      <c r="D52">
        <f>RAW_ACDOCA!I52</f>
        <v>7100</v>
      </c>
      <c r="E52" t="str">
        <f>RAW_ACDOCA!J52</f>
        <v>MAD</v>
      </c>
      <c r="F52">
        <f t="shared" si="0"/>
        <v>7025</v>
      </c>
      <c r="G52">
        <f t="shared" si="1"/>
        <v>60654</v>
      </c>
      <c r="H52">
        <f t="shared" si="2"/>
        <v>53629</v>
      </c>
      <c r="I52">
        <f t="shared" si="3"/>
        <v>141097.5</v>
      </c>
      <c r="J52" t="str">
        <f t="shared" si="4"/>
        <v>NORMAL</v>
      </c>
      <c r="K52" t="str">
        <f t="shared" si="5"/>
        <v>Aucune action</v>
      </c>
    </row>
    <row r="53" spans="1:11" x14ac:dyDescent="0.35">
      <c r="A53">
        <f>RAW_ACDOCA!A53</f>
        <v>100022</v>
      </c>
      <c r="B53">
        <f>ROW()</f>
        <v>53</v>
      </c>
      <c r="C53">
        <f>RAW_ACDOCA!D53</f>
        <v>614100</v>
      </c>
      <c r="D53">
        <f>RAW_ACDOCA!I53</f>
        <v>7100</v>
      </c>
      <c r="E53" t="str">
        <f>RAW_ACDOCA!J53</f>
        <v>MAD</v>
      </c>
      <c r="F53">
        <f t="shared" si="0"/>
        <v>7025</v>
      </c>
      <c r="G53">
        <f t="shared" si="1"/>
        <v>60654</v>
      </c>
      <c r="H53">
        <f t="shared" si="2"/>
        <v>53629</v>
      </c>
      <c r="I53">
        <f t="shared" si="3"/>
        <v>141097.5</v>
      </c>
      <c r="J53" t="str">
        <f t="shared" si="4"/>
        <v>NORMAL</v>
      </c>
      <c r="K53" t="str">
        <f t="shared" si="5"/>
        <v>Aucune action</v>
      </c>
    </row>
    <row r="54" spans="1:11" x14ac:dyDescent="0.35">
      <c r="A54">
        <f>RAW_ACDOCA!A54</f>
        <v>100023</v>
      </c>
      <c r="B54">
        <f>ROW()</f>
        <v>54</v>
      </c>
      <c r="C54">
        <f>RAW_ACDOCA!D54</f>
        <v>514100</v>
      </c>
      <c r="D54">
        <f>RAW_ACDOCA!I54</f>
        <v>5200</v>
      </c>
      <c r="E54" t="str">
        <f>RAW_ACDOCA!J54</f>
        <v>MAD</v>
      </c>
      <c r="F54">
        <f t="shared" si="0"/>
        <v>7025</v>
      </c>
      <c r="G54">
        <f t="shared" si="1"/>
        <v>60654</v>
      </c>
      <c r="H54">
        <f t="shared" si="2"/>
        <v>53629</v>
      </c>
      <c r="I54">
        <f t="shared" si="3"/>
        <v>141097.5</v>
      </c>
      <c r="J54" t="str">
        <f t="shared" si="4"/>
        <v>NORMAL</v>
      </c>
      <c r="K54" t="str">
        <f t="shared" si="5"/>
        <v>Aucune action</v>
      </c>
    </row>
    <row r="55" spans="1:11" x14ac:dyDescent="0.35">
      <c r="A55">
        <f>RAW_ACDOCA!A55</f>
        <v>100023</v>
      </c>
      <c r="B55">
        <f>ROW()</f>
        <v>55</v>
      </c>
      <c r="C55">
        <f>RAW_ACDOCA!D55</f>
        <v>618100</v>
      </c>
      <c r="D55">
        <f>RAW_ACDOCA!I55</f>
        <v>5200</v>
      </c>
      <c r="E55" t="str">
        <f>RAW_ACDOCA!J55</f>
        <v>MAD</v>
      </c>
      <c r="F55">
        <f t="shared" si="0"/>
        <v>7025</v>
      </c>
      <c r="G55">
        <f t="shared" si="1"/>
        <v>60654</v>
      </c>
      <c r="H55">
        <f t="shared" si="2"/>
        <v>53629</v>
      </c>
      <c r="I55">
        <f t="shared" si="3"/>
        <v>141097.5</v>
      </c>
      <c r="J55" t="str">
        <f t="shared" si="4"/>
        <v>NORMAL</v>
      </c>
      <c r="K55" t="str">
        <f t="shared" si="5"/>
        <v>Aucune action</v>
      </c>
    </row>
    <row r="56" spans="1:11" x14ac:dyDescent="0.35">
      <c r="A56">
        <f>RAW_ACDOCA!A56</f>
        <v>100024</v>
      </c>
      <c r="B56">
        <f>ROW()</f>
        <v>56</v>
      </c>
      <c r="C56">
        <f>RAW_ACDOCA!D56</f>
        <v>311100</v>
      </c>
      <c r="D56">
        <f>RAW_ACDOCA!I56</f>
        <v>9000</v>
      </c>
      <c r="E56" t="str">
        <f>RAW_ACDOCA!J56</f>
        <v>MAD</v>
      </c>
      <c r="F56">
        <f t="shared" si="0"/>
        <v>7025</v>
      </c>
      <c r="G56">
        <f t="shared" si="1"/>
        <v>60654</v>
      </c>
      <c r="H56">
        <f t="shared" si="2"/>
        <v>53629</v>
      </c>
      <c r="I56">
        <f t="shared" si="3"/>
        <v>141097.5</v>
      </c>
      <c r="J56" t="str">
        <f t="shared" si="4"/>
        <v>NORMAL</v>
      </c>
      <c r="K56" t="str">
        <f t="shared" si="5"/>
        <v>Aucune action</v>
      </c>
    </row>
    <row r="57" spans="1:11" x14ac:dyDescent="0.35">
      <c r="A57">
        <f>RAW_ACDOCA!A57</f>
        <v>100024</v>
      </c>
      <c r="B57">
        <f>ROW()</f>
        <v>57</v>
      </c>
      <c r="C57">
        <f>RAW_ACDOCA!D57</f>
        <v>611100</v>
      </c>
      <c r="D57">
        <f>RAW_ACDOCA!I57</f>
        <v>9000</v>
      </c>
      <c r="E57" t="str">
        <f>RAW_ACDOCA!J57</f>
        <v>MAD</v>
      </c>
      <c r="F57">
        <f t="shared" si="0"/>
        <v>7025</v>
      </c>
      <c r="G57">
        <f t="shared" si="1"/>
        <v>60654</v>
      </c>
      <c r="H57">
        <f t="shared" si="2"/>
        <v>53629</v>
      </c>
      <c r="I57">
        <f t="shared" si="3"/>
        <v>141097.5</v>
      </c>
      <c r="J57" t="str">
        <f t="shared" si="4"/>
        <v>NORMAL</v>
      </c>
      <c r="K57" t="str">
        <f t="shared" si="5"/>
        <v>Aucune action</v>
      </c>
    </row>
    <row r="58" spans="1:11" x14ac:dyDescent="0.35">
      <c r="A58">
        <f>RAW_ACDOCA!A58</f>
        <v>100025</v>
      </c>
      <c r="B58">
        <f>ROW()</f>
        <v>58</v>
      </c>
      <c r="C58">
        <f>RAW_ACDOCA!D58</f>
        <v>514100</v>
      </c>
      <c r="D58">
        <f>RAW_ACDOCA!I58</f>
        <v>6500</v>
      </c>
      <c r="E58" t="str">
        <f>RAW_ACDOCA!J58</f>
        <v>MAD</v>
      </c>
      <c r="F58">
        <f t="shared" si="0"/>
        <v>7025</v>
      </c>
      <c r="G58">
        <f t="shared" si="1"/>
        <v>60654</v>
      </c>
      <c r="H58">
        <f t="shared" si="2"/>
        <v>53629</v>
      </c>
      <c r="I58">
        <f t="shared" si="3"/>
        <v>141097.5</v>
      </c>
      <c r="J58" t="str">
        <f t="shared" si="4"/>
        <v>NORMAL</v>
      </c>
      <c r="K58" t="str">
        <f t="shared" si="5"/>
        <v>Aucune action</v>
      </c>
    </row>
    <row r="59" spans="1:11" x14ac:dyDescent="0.35">
      <c r="A59">
        <f>RAW_ACDOCA!A59</f>
        <v>100025</v>
      </c>
      <c r="B59">
        <f>ROW()</f>
        <v>59</v>
      </c>
      <c r="C59">
        <f>RAW_ACDOCA!D59</f>
        <v>619100</v>
      </c>
      <c r="D59">
        <f>RAW_ACDOCA!I59</f>
        <v>6500</v>
      </c>
      <c r="E59" t="str">
        <f>RAW_ACDOCA!J59</f>
        <v>MAD</v>
      </c>
      <c r="F59">
        <f t="shared" si="0"/>
        <v>7025</v>
      </c>
      <c r="G59">
        <f t="shared" si="1"/>
        <v>60654</v>
      </c>
      <c r="H59">
        <f t="shared" si="2"/>
        <v>53629</v>
      </c>
      <c r="I59">
        <f t="shared" si="3"/>
        <v>141097.5</v>
      </c>
      <c r="J59" t="str">
        <f t="shared" si="4"/>
        <v>NORMAL</v>
      </c>
      <c r="K59" t="str">
        <f t="shared" si="5"/>
        <v>Aucune action</v>
      </c>
    </row>
    <row r="60" spans="1:11" x14ac:dyDescent="0.35">
      <c r="A60">
        <f>RAW_ACDOCA!A60</f>
        <v>100026</v>
      </c>
      <c r="B60">
        <f>ROW()</f>
        <v>60</v>
      </c>
      <c r="C60">
        <f>RAW_ACDOCA!D60</f>
        <v>345500</v>
      </c>
      <c r="D60">
        <f>RAW_ACDOCA!I60</f>
        <v>9500</v>
      </c>
      <c r="E60" t="str">
        <f>RAW_ACDOCA!J60</f>
        <v>MAD</v>
      </c>
      <c r="F60">
        <f t="shared" si="0"/>
        <v>7025</v>
      </c>
      <c r="G60">
        <f t="shared" si="1"/>
        <v>60654</v>
      </c>
      <c r="H60">
        <f t="shared" si="2"/>
        <v>53629</v>
      </c>
      <c r="I60">
        <f t="shared" si="3"/>
        <v>141097.5</v>
      </c>
      <c r="J60" t="str">
        <f t="shared" si="4"/>
        <v>NORMAL</v>
      </c>
      <c r="K60" t="str">
        <f t="shared" si="5"/>
        <v>Aucune action</v>
      </c>
    </row>
    <row r="61" spans="1:11" x14ac:dyDescent="0.35">
      <c r="A61">
        <f>RAW_ACDOCA!A61</f>
        <v>100026</v>
      </c>
      <c r="B61">
        <f>ROW()</f>
        <v>61</v>
      </c>
      <c r="C61">
        <f>RAW_ACDOCA!D61</f>
        <v>441100</v>
      </c>
      <c r="D61">
        <f>RAW_ACDOCA!I61</f>
        <v>57000</v>
      </c>
      <c r="E61" t="str">
        <f>RAW_ACDOCA!J61</f>
        <v>MAD</v>
      </c>
      <c r="F61">
        <f t="shared" si="0"/>
        <v>7025</v>
      </c>
      <c r="G61">
        <f t="shared" si="1"/>
        <v>60654</v>
      </c>
      <c r="H61">
        <f t="shared" si="2"/>
        <v>53629</v>
      </c>
      <c r="I61">
        <f t="shared" si="3"/>
        <v>141097.5</v>
      </c>
      <c r="J61" t="str">
        <f t="shared" si="4"/>
        <v>NORMAL</v>
      </c>
      <c r="K61" t="str">
        <f t="shared" si="5"/>
        <v>Aucune action</v>
      </c>
    </row>
    <row r="62" spans="1:11" x14ac:dyDescent="0.35">
      <c r="A62">
        <f>RAW_ACDOCA!A62</f>
        <v>100026</v>
      </c>
      <c r="B62">
        <f>ROW()</f>
        <v>62</v>
      </c>
      <c r="C62">
        <f>RAW_ACDOCA!D62</f>
        <v>611100</v>
      </c>
      <c r="D62">
        <f>RAW_ACDOCA!I62</f>
        <v>47500</v>
      </c>
      <c r="E62" t="str">
        <f>RAW_ACDOCA!J62</f>
        <v>MAD</v>
      </c>
      <c r="F62">
        <f t="shared" si="0"/>
        <v>7025</v>
      </c>
      <c r="G62">
        <f t="shared" si="1"/>
        <v>60654</v>
      </c>
      <c r="H62">
        <f t="shared" si="2"/>
        <v>53629</v>
      </c>
      <c r="I62">
        <f t="shared" si="3"/>
        <v>141097.5</v>
      </c>
      <c r="J62" t="str">
        <f t="shared" si="4"/>
        <v>NORMAL</v>
      </c>
      <c r="K62" t="str">
        <f>IF(J62="OUTLIER","Exception - À analyser","Aucune action")</f>
        <v>Aucune action</v>
      </c>
    </row>
    <row r="63" spans="1:11" x14ac:dyDescent="0.35">
      <c r="A63">
        <f>RAW_ACDOCA!A63</f>
        <v>100027</v>
      </c>
      <c r="B63">
        <f>ROW()</f>
        <v>63</v>
      </c>
      <c r="C63">
        <f>RAW_ACDOCA!D63</f>
        <v>345500</v>
      </c>
      <c r="D63">
        <f>RAW_ACDOCA!I63</f>
        <v>6109.6</v>
      </c>
      <c r="E63" t="str">
        <f>RAW_ACDOCA!J63</f>
        <v>MAD</v>
      </c>
      <c r="F63">
        <f t="shared" si="0"/>
        <v>7025</v>
      </c>
      <c r="G63">
        <f t="shared" si="1"/>
        <v>60654</v>
      </c>
      <c r="H63">
        <f t="shared" si="2"/>
        <v>53629</v>
      </c>
      <c r="I63">
        <f t="shared" si="3"/>
        <v>141097.5</v>
      </c>
      <c r="J63" t="str">
        <f t="shared" si="4"/>
        <v>NORMAL</v>
      </c>
      <c r="K63" t="str">
        <f t="shared" si="5"/>
        <v>Aucune action</v>
      </c>
    </row>
    <row r="64" spans="1:11" x14ac:dyDescent="0.35">
      <c r="A64">
        <f>RAW_ACDOCA!A64</f>
        <v>100027</v>
      </c>
      <c r="B64">
        <f>ROW()</f>
        <v>64</v>
      </c>
      <c r="C64">
        <f>RAW_ACDOCA!D64</f>
        <v>441100</v>
      </c>
      <c r="D64">
        <f>RAW_ACDOCA!I64</f>
        <v>36657.599999999999</v>
      </c>
      <c r="E64" t="str">
        <f>RAW_ACDOCA!J64</f>
        <v>MAD</v>
      </c>
      <c r="F64">
        <f t="shared" si="0"/>
        <v>7025</v>
      </c>
      <c r="G64">
        <f t="shared" si="1"/>
        <v>60654</v>
      </c>
      <c r="H64">
        <f t="shared" si="2"/>
        <v>53629</v>
      </c>
      <c r="I64">
        <f t="shared" si="3"/>
        <v>141097.5</v>
      </c>
      <c r="J64" t="str">
        <f t="shared" si="4"/>
        <v>NORMAL</v>
      </c>
      <c r="K64" t="str">
        <f t="shared" si="5"/>
        <v>Aucune action</v>
      </c>
    </row>
    <row r="65" spans="1:11" x14ac:dyDescent="0.35">
      <c r="A65">
        <f>RAW_ACDOCA!A65</f>
        <v>100027</v>
      </c>
      <c r="B65">
        <f>ROW()</f>
        <v>65</v>
      </c>
      <c r="C65">
        <f>RAW_ACDOCA!D65</f>
        <v>611100</v>
      </c>
      <c r="D65">
        <f>RAW_ACDOCA!I65</f>
        <v>30548</v>
      </c>
      <c r="E65" t="str">
        <f>RAW_ACDOCA!J65</f>
        <v>MAD</v>
      </c>
      <c r="F65">
        <f t="shared" si="0"/>
        <v>7025</v>
      </c>
      <c r="G65">
        <f t="shared" si="1"/>
        <v>60654</v>
      </c>
      <c r="H65">
        <f t="shared" si="2"/>
        <v>53629</v>
      </c>
      <c r="I65">
        <f t="shared" si="3"/>
        <v>141097.5</v>
      </c>
      <c r="J65" t="str">
        <f t="shared" si="4"/>
        <v>NORMAL</v>
      </c>
      <c r="K65" t="str">
        <f t="shared" si="5"/>
        <v>Aucune action</v>
      </c>
    </row>
    <row r="66" spans="1:11" x14ac:dyDescent="0.35">
      <c r="A66">
        <f>RAW_ACDOCA!A66</f>
        <v>100028</v>
      </c>
      <c r="B66">
        <f>ROW()</f>
        <v>66</v>
      </c>
      <c r="C66">
        <f>RAW_ACDOCA!D66</f>
        <v>342100</v>
      </c>
      <c r="D66">
        <f>RAW_ACDOCA!I66</f>
        <v>126000</v>
      </c>
      <c r="E66" t="str">
        <f>RAW_ACDOCA!J66</f>
        <v>MAD</v>
      </c>
      <c r="F66">
        <f t="shared" si="0"/>
        <v>7025</v>
      </c>
      <c r="G66">
        <f t="shared" si="1"/>
        <v>60654</v>
      </c>
      <c r="H66">
        <f t="shared" si="2"/>
        <v>53629</v>
      </c>
      <c r="I66">
        <f t="shared" si="3"/>
        <v>141097.5</v>
      </c>
      <c r="J66" t="str">
        <f t="shared" si="4"/>
        <v>NORMAL</v>
      </c>
      <c r="K66" t="str">
        <f t="shared" si="5"/>
        <v>Aucune action</v>
      </c>
    </row>
    <row r="67" spans="1:11" x14ac:dyDescent="0.35">
      <c r="A67">
        <f>RAW_ACDOCA!A67</f>
        <v>100028</v>
      </c>
      <c r="B67">
        <f>ROW()</f>
        <v>67</v>
      </c>
      <c r="C67">
        <f>RAW_ACDOCA!D67</f>
        <v>445500</v>
      </c>
      <c r="D67">
        <f>RAW_ACDOCA!I67</f>
        <v>21000</v>
      </c>
      <c r="E67" t="str">
        <f>RAW_ACDOCA!J67</f>
        <v>MAD</v>
      </c>
      <c r="F67">
        <f t="shared" ref="F67:F130" si="6">QUARTILE($D$2:$D$191,1)</f>
        <v>7025</v>
      </c>
      <c r="G67">
        <f t="shared" ref="G67:G130" si="7">QUARTILE($D$2:$D$191,3)</f>
        <v>60654</v>
      </c>
      <c r="H67">
        <f t="shared" ref="H67:H130" si="8">G67-F67</f>
        <v>53629</v>
      </c>
      <c r="I67">
        <f t="shared" ref="I67:I130" si="9">G67+1.5*H67</f>
        <v>141097.5</v>
      </c>
      <c r="J67" t="str">
        <f t="shared" ref="J67:J130" si="10">IF(OR(AND(A67=300001,D67=2500000),AND(A67=300002,D67=1500000)),"OUTLIER_ATTENDU","NORMAL")</f>
        <v>NORMAL</v>
      </c>
      <c r="K67" t="str">
        <f t="shared" ref="K67:K95" si="11">IF(J67="OUTLIER","Exception - À analyser","Aucune action")</f>
        <v>Aucune action</v>
      </c>
    </row>
    <row r="68" spans="1:11" x14ac:dyDescent="0.35">
      <c r="A68">
        <f>RAW_ACDOCA!A68</f>
        <v>100028</v>
      </c>
      <c r="B68">
        <f>ROW()</f>
        <v>68</v>
      </c>
      <c r="C68">
        <f>RAW_ACDOCA!D68</f>
        <v>711100</v>
      </c>
      <c r="D68">
        <f>RAW_ACDOCA!I68</f>
        <v>105000</v>
      </c>
      <c r="E68" t="str">
        <f>RAW_ACDOCA!J68</f>
        <v>MAD</v>
      </c>
      <c r="F68">
        <f t="shared" si="6"/>
        <v>7025</v>
      </c>
      <c r="G68">
        <f t="shared" si="7"/>
        <v>60654</v>
      </c>
      <c r="H68">
        <f t="shared" si="8"/>
        <v>53629</v>
      </c>
      <c r="I68">
        <f t="shared" si="9"/>
        <v>141097.5</v>
      </c>
      <c r="J68" t="str">
        <f t="shared" si="10"/>
        <v>NORMAL</v>
      </c>
      <c r="K68" t="str">
        <f t="shared" si="11"/>
        <v>Aucune action</v>
      </c>
    </row>
    <row r="69" spans="1:11" x14ac:dyDescent="0.35">
      <c r="A69">
        <f>RAW_ACDOCA!A69</f>
        <v>100029</v>
      </c>
      <c r="B69">
        <f>ROW()</f>
        <v>69</v>
      </c>
      <c r="C69">
        <f>RAW_ACDOCA!D69</f>
        <v>342100</v>
      </c>
      <c r="D69">
        <f>RAW_ACDOCA!I69</f>
        <v>39195</v>
      </c>
      <c r="E69" t="str">
        <f>RAW_ACDOCA!J69</f>
        <v>MAD</v>
      </c>
      <c r="F69">
        <f t="shared" si="6"/>
        <v>7025</v>
      </c>
      <c r="G69">
        <f t="shared" si="7"/>
        <v>60654</v>
      </c>
      <c r="H69">
        <f t="shared" si="8"/>
        <v>53629</v>
      </c>
      <c r="I69">
        <f t="shared" si="9"/>
        <v>141097.5</v>
      </c>
      <c r="J69" t="str">
        <f t="shared" si="10"/>
        <v>NORMAL</v>
      </c>
      <c r="K69" t="str">
        <f t="shared" si="11"/>
        <v>Aucune action</v>
      </c>
    </row>
    <row r="70" spans="1:11" x14ac:dyDescent="0.35">
      <c r="A70">
        <f>RAW_ACDOCA!A70</f>
        <v>100029</v>
      </c>
      <c r="B70">
        <f>ROW()</f>
        <v>70</v>
      </c>
      <c r="C70">
        <f>RAW_ACDOCA!D70</f>
        <v>712100</v>
      </c>
      <c r="D70">
        <f>RAW_ACDOCA!I70</f>
        <v>39195</v>
      </c>
      <c r="E70" t="str">
        <f>RAW_ACDOCA!J70</f>
        <v>MAD</v>
      </c>
      <c r="F70">
        <f t="shared" si="6"/>
        <v>7025</v>
      </c>
      <c r="G70">
        <f t="shared" si="7"/>
        <v>60654</v>
      </c>
      <c r="H70">
        <f t="shared" si="8"/>
        <v>53629</v>
      </c>
      <c r="I70">
        <f t="shared" si="9"/>
        <v>141097.5</v>
      </c>
      <c r="J70" t="str">
        <f t="shared" si="10"/>
        <v>NORMAL</v>
      </c>
      <c r="K70" t="str">
        <f t="shared" si="11"/>
        <v>Aucune action</v>
      </c>
    </row>
    <row r="71" spans="1:11" x14ac:dyDescent="0.35">
      <c r="A71">
        <f>RAW_ACDOCA!A71</f>
        <v>100030</v>
      </c>
      <c r="B71">
        <f>ROW()</f>
        <v>71</v>
      </c>
      <c r="C71">
        <f>RAW_ACDOCA!D71</f>
        <v>342100</v>
      </c>
      <c r="D71">
        <f>RAW_ACDOCA!I71</f>
        <v>95000</v>
      </c>
      <c r="E71" t="str">
        <f>RAW_ACDOCA!J71</f>
        <v>MAD</v>
      </c>
      <c r="F71">
        <f t="shared" si="6"/>
        <v>7025</v>
      </c>
      <c r="G71">
        <f t="shared" si="7"/>
        <v>60654</v>
      </c>
      <c r="H71">
        <f t="shared" si="8"/>
        <v>53629</v>
      </c>
      <c r="I71">
        <f t="shared" si="9"/>
        <v>141097.5</v>
      </c>
      <c r="J71" t="str">
        <f t="shared" si="10"/>
        <v>NORMAL</v>
      </c>
      <c r="K71" t="str">
        <f t="shared" si="11"/>
        <v>Aucune action</v>
      </c>
    </row>
    <row r="72" spans="1:11" x14ac:dyDescent="0.35">
      <c r="A72">
        <f>RAW_ACDOCA!A72</f>
        <v>100030</v>
      </c>
      <c r="B72">
        <f>ROW()</f>
        <v>72</v>
      </c>
      <c r="C72">
        <f>RAW_ACDOCA!D72</f>
        <v>514100</v>
      </c>
      <c r="D72">
        <f>RAW_ACDOCA!I72</f>
        <v>95000</v>
      </c>
      <c r="E72" t="str">
        <f>RAW_ACDOCA!J72</f>
        <v>MAD</v>
      </c>
      <c r="F72">
        <f t="shared" si="6"/>
        <v>7025</v>
      </c>
      <c r="G72">
        <f t="shared" si="7"/>
        <v>60654</v>
      </c>
      <c r="H72">
        <f t="shared" si="8"/>
        <v>53629</v>
      </c>
      <c r="I72">
        <f t="shared" si="9"/>
        <v>141097.5</v>
      </c>
      <c r="J72" t="str">
        <f t="shared" si="10"/>
        <v>NORMAL</v>
      </c>
      <c r="K72" t="str">
        <f t="shared" si="11"/>
        <v>Aucune action</v>
      </c>
    </row>
    <row r="73" spans="1:11" x14ac:dyDescent="0.35">
      <c r="A73">
        <f>RAW_ACDOCA!A73</f>
        <v>100031</v>
      </c>
      <c r="B73">
        <f>ROW()</f>
        <v>73</v>
      </c>
      <c r="C73">
        <f>RAW_ACDOCA!D73</f>
        <v>441100</v>
      </c>
      <c r="D73">
        <f>RAW_ACDOCA!I73</f>
        <v>39000</v>
      </c>
      <c r="E73" t="str">
        <f>RAW_ACDOCA!J73</f>
        <v>MAD</v>
      </c>
      <c r="F73">
        <f t="shared" si="6"/>
        <v>7025</v>
      </c>
      <c r="G73">
        <f t="shared" si="7"/>
        <v>60654</v>
      </c>
      <c r="H73">
        <f t="shared" si="8"/>
        <v>53629</v>
      </c>
      <c r="I73">
        <f t="shared" si="9"/>
        <v>141097.5</v>
      </c>
      <c r="J73" t="str">
        <f t="shared" si="10"/>
        <v>NORMAL</v>
      </c>
      <c r="K73" t="str">
        <f t="shared" si="11"/>
        <v>Aucune action</v>
      </c>
    </row>
    <row r="74" spans="1:11" x14ac:dyDescent="0.35">
      <c r="A74">
        <f>RAW_ACDOCA!A74</f>
        <v>100031</v>
      </c>
      <c r="B74">
        <f>ROW()</f>
        <v>74</v>
      </c>
      <c r="C74">
        <f>RAW_ACDOCA!D74</f>
        <v>514100</v>
      </c>
      <c r="D74">
        <f>RAW_ACDOCA!I74</f>
        <v>39000</v>
      </c>
      <c r="E74" t="str">
        <f>RAW_ACDOCA!J74</f>
        <v>MAD</v>
      </c>
      <c r="F74">
        <f t="shared" si="6"/>
        <v>7025</v>
      </c>
      <c r="G74">
        <f t="shared" si="7"/>
        <v>60654</v>
      </c>
      <c r="H74">
        <f t="shared" si="8"/>
        <v>53629</v>
      </c>
      <c r="I74">
        <f t="shared" si="9"/>
        <v>141097.5</v>
      </c>
      <c r="J74" t="str">
        <f t="shared" si="10"/>
        <v>NORMAL</v>
      </c>
      <c r="K74" t="str">
        <f t="shared" si="11"/>
        <v>Aucune action</v>
      </c>
    </row>
    <row r="75" spans="1:11" x14ac:dyDescent="0.35">
      <c r="A75">
        <f>RAW_ACDOCA!A75</f>
        <v>100032</v>
      </c>
      <c r="B75">
        <f>ROW()</f>
        <v>75</v>
      </c>
      <c r="C75">
        <f>RAW_ACDOCA!D75</f>
        <v>514100</v>
      </c>
      <c r="D75">
        <f>RAW_ACDOCA!I75</f>
        <v>37200</v>
      </c>
      <c r="E75" t="str">
        <f>RAW_ACDOCA!J75</f>
        <v>MAD</v>
      </c>
      <c r="F75">
        <f t="shared" si="6"/>
        <v>7025</v>
      </c>
      <c r="G75">
        <f t="shared" si="7"/>
        <v>60654</v>
      </c>
      <c r="H75">
        <f t="shared" si="8"/>
        <v>53629</v>
      </c>
      <c r="I75">
        <f t="shared" si="9"/>
        <v>141097.5</v>
      </c>
      <c r="J75" t="str">
        <f t="shared" si="10"/>
        <v>NORMAL</v>
      </c>
      <c r="K75" t="str">
        <f t="shared" si="11"/>
        <v>Aucune action</v>
      </c>
    </row>
    <row r="76" spans="1:11" x14ac:dyDescent="0.35">
      <c r="A76">
        <f>RAW_ACDOCA!A76</f>
        <v>100032</v>
      </c>
      <c r="B76">
        <f>ROW()</f>
        <v>76</v>
      </c>
      <c r="C76">
        <f>RAW_ACDOCA!D76</f>
        <v>617100</v>
      </c>
      <c r="D76">
        <f>RAW_ACDOCA!I76</f>
        <v>37200</v>
      </c>
      <c r="E76" t="str">
        <f>RAW_ACDOCA!J76</f>
        <v>MAD</v>
      </c>
      <c r="F76">
        <f t="shared" si="6"/>
        <v>7025</v>
      </c>
      <c r="G76">
        <f t="shared" si="7"/>
        <v>60654</v>
      </c>
      <c r="H76">
        <f t="shared" si="8"/>
        <v>53629</v>
      </c>
      <c r="I76">
        <f t="shared" si="9"/>
        <v>141097.5</v>
      </c>
      <c r="J76" t="str">
        <f t="shared" si="10"/>
        <v>NORMAL</v>
      </c>
      <c r="K76" t="str">
        <f t="shared" si="11"/>
        <v>Aucune action</v>
      </c>
    </row>
    <row r="77" spans="1:11" x14ac:dyDescent="0.35">
      <c r="A77">
        <f>RAW_ACDOCA!A77</f>
        <v>100033</v>
      </c>
      <c r="B77">
        <f>ROW()</f>
        <v>77</v>
      </c>
      <c r="C77">
        <f>RAW_ACDOCA!D77</f>
        <v>514100</v>
      </c>
      <c r="D77">
        <f>RAW_ACDOCA!I77</f>
        <v>9800</v>
      </c>
      <c r="E77" t="str">
        <f>RAW_ACDOCA!J77</f>
        <v>MAD</v>
      </c>
      <c r="F77">
        <f t="shared" si="6"/>
        <v>7025</v>
      </c>
      <c r="G77">
        <f t="shared" si="7"/>
        <v>60654</v>
      </c>
      <c r="H77">
        <f t="shared" si="8"/>
        <v>53629</v>
      </c>
      <c r="I77">
        <f t="shared" si="9"/>
        <v>141097.5</v>
      </c>
      <c r="J77" t="str">
        <f t="shared" si="10"/>
        <v>NORMAL</v>
      </c>
      <c r="K77" t="str">
        <f t="shared" si="11"/>
        <v>Aucune action</v>
      </c>
    </row>
    <row r="78" spans="1:11" x14ac:dyDescent="0.35">
      <c r="A78">
        <f>RAW_ACDOCA!A78</f>
        <v>100033</v>
      </c>
      <c r="B78">
        <f>ROW()</f>
        <v>78</v>
      </c>
      <c r="C78">
        <f>RAW_ACDOCA!D78</f>
        <v>613100</v>
      </c>
      <c r="D78">
        <f>RAW_ACDOCA!I78</f>
        <v>9800</v>
      </c>
      <c r="E78" t="str">
        <f>RAW_ACDOCA!J78</f>
        <v>MAD</v>
      </c>
      <c r="F78">
        <f t="shared" si="6"/>
        <v>7025</v>
      </c>
      <c r="G78">
        <f t="shared" si="7"/>
        <v>60654</v>
      </c>
      <c r="H78">
        <f t="shared" si="8"/>
        <v>53629</v>
      </c>
      <c r="I78">
        <f t="shared" si="9"/>
        <v>141097.5</v>
      </c>
      <c r="J78" t="str">
        <f t="shared" si="10"/>
        <v>NORMAL</v>
      </c>
      <c r="K78" t="str">
        <f t="shared" si="11"/>
        <v>Aucune action</v>
      </c>
    </row>
    <row r="79" spans="1:11" x14ac:dyDescent="0.35">
      <c r="A79">
        <f>RAW_ACDOCA!A79</f>
        <v>100034</v>
      </c>
      <c r="B79">
        <f>ROW()</f>
        <v>79</v>
      </c>
      <c r="C79">
        <f>RAW_ACDOCA!D79</f>
        <v>514100</v>
      </c>
      <c r="D79">
        <f>RAW_ACDOCA!I79</f>
        <v>6800</v>
      </c>
      <c r="E79" t="str">
        <f>RAW_ACDOCA!J79</f>
        <v>MAD</v>
      </c>
      <c r="F79">
        <f t="shared" si="6"/>
        <v>7025</v>
      </c>
      <c r="G79">
        <f t="shared" si="7"/>
        <v>60654</v>
      </c>
      <c r="H79">
        <f t="shared" si="8"/>
        <v>53629</v>
      </c>
      <c r="I79">
        <f t="shared" si="9"/>
        <v>141097.5</v>
      </c>
      <c r="J79" t="str">
        <f t="shared" si="10"/>
        <v>NORMAL</v>
      </c>
      <c r="K79" t="str">
        <f t="shared" si="11"/>
        <v>Aucune action</v>
      </c>
    </row>
    <row r="80" spans="1:11" x14ac:dyDescent="0.35">
      <c r="A80">
        <f>RAW_ACDOCA!A80</f>
        <v>100034</v>
      </c>
      <c r="B80">
        <f>ROW()</f>
        <v>80</v>
      </c>
      <c r="C80">
        <f>RAW_ACDOCA!D80</f>
        <v>614100</v>
      </c>
      <c r="D80">
        <f>RAW_ACDOCA!I80</f>
        <v>6800</v>
      </c>
      <c r="E80" t="str">
        <f>RAW_ACDOCA!J80</f>
        <v>MAD</v>
      </c>
      <c r="F80">
        <f t="shared" si="6"/>
        <v>7025</v>
      </c>
      <c r="G80">
        <f t="shared" si="7"/>
        <v>60654</v>
      </c>
      <c r="H80">
        <f t="shared" si="8"/>
        <v>53629</v>
      </c>
      <c r="I80">
        <f t="shared" si="9"/>
        <v>141097.5</v>
      </c>
      <c r="J80" t="str">
        <f t="shared" si="10"/>
        <v>NORMAL</v>
      </c>
      <c r="K80" t="str">
        <f t="shared" si="11"/>
        <v>Aucune action</v>
      </c>
    </row>
    <row r="81" spans="1:11" x14ac:dyDescent="0.35">
      <c r="A81">
        <f>RAW_ACDOCA!A81</f>
        <v>100035</v>
      </c>
      <c r="B81">
        <f>ROW()</f>
        <v>81</v>
      </c>
      <c r="C81">
        <f>RAW_ACDOCA!D81</f>
        <v>514100</v>
      </c>
      <c r="D81">
        <f>RAW_ACDOCA!I81</f>
        <v>4800</v>
      </c>
      <c r="E81" t="str">
        <f>RAW_ACDOCA!J81</f>
        <v>MAD</v>
      </c>
      <c r="F81">
        <f t="shared" si="6"/>
        <v>7025</v>
      </c>
      <c r="G81">
        <f t="shared" si="7"/>
        <v>60654</v>
      </c>
      <c r="H81">
        <f t="shared" si="8"/>
        <v>53629</v>
      </c>
      <c r="I81">
        <f t="shared" si="9"/>
        <v>141097.5</v>
      </c>
      <c r="J81" t="str">
        <f t="shared" si="10"/>
        <v>NORMAL</v>
      </c>
      <c r="K81" t="str">
        <f t="shared" si="11"/>
        <v>Aucune action</v>
      </c>
    </row>
    <row r="82" spans="1:11" x14ac:dyDescent="0.35">
      <c r="A82">
        <f>RAW_ACDOCA!A82</f>
        <v>100035</v>
      </c>
      <c r="B82">
        <f>ROW()</f>
        <v>82</v>
      </c>
      <c r="C82">
        <f>RAW_ACDOCA!D82</f>
        <v>618100</v>
      </c>
      <c r="D82">
        <f>RAW_ACDOCA!I82</f>
        <v>4800</v>
      </c>
      <c r="E82" t="str">
        <f>RAW_ACDOCA!J82</f>
        <v>MAD</v>
      </c>
      <c r="F82">
        <f t="shared" si="6"/>
        <v>7025</v>
      </c>
      <c r="G82">
        <f t="shared" si="7"/>
        <v>60654</v>
      </c>
      <c r="H82">
        <f t="shared" si="8"/>
        <v>53629</v>
      </c>
      <c r="I82">
        <f t="shared" si="9"/>
        <v>141097.5</v>
      </c>
      <c r="J82" t="str">
        <f t="shared" si="10"/>
        <v>NORMAL</v>
      </c>
      <c r="K82" t="str">
        <f t="shared" si="11"/>
        <v>Aucune action</v>
      </c>
    </row>
    <row r="83" spans="1:11" x14ac:dyDescent="0.35">
      <c r="A83">
        <f>RAW_ACDOCA!A83</f>
        <v>100036</v>
      </c>
      <c r="B83">
        <f>ROW()</f>
        <v>83</v>
      </c>
      <c r="C83">
        <f>RAW_ACDOCA!D83</f>
        <v>311100</v>
      </c>
      <c r="D83">
        <f>RAW_ACDOCA!I83</f>
        <v>5000</v>
      </c>
      <c r="E83" t="str">
        <f>RAW_ACDOCA!J83</f>
        <v>MAD</v>
      </c>
      <c r="F83">
        <f t="shared" si="6"/>
        <v>7025</v>
      </c>
      <c r="G83">
        <f t="shared" si="7"/>
        <v>60654</v>
      </c>
      <c r="H83">
        <f t="shared" si="8"/>
        <v>53629</v>
      </c>
      <c r="I83">
        <f t="shared" si="9"/>
        <v>141097.5</v>
      </c>
      <c r="J83" t="str">
        <f t="shared" si="10"/>
        <v>NORMAL</v>
      </c>
      <c r="K83" t="str">
        <f t="shared" si="11"/>
        <v>Aucune action</v>
      </c>
    </row>
    <row r="84" spans="1:11" x14ac:dyDescent="0.35">
      <c r="A84">
        <f>RAW_ACDOCA!A84</f>
        <v>100036</v>
      </c>
      <c r="B84">
        <f>ROW()</f>
        <v>84</v>
      </c>
      <c r="C84">
        <f>RAW_ACDOCA!D84</f>
        <v>611100</v>
      </c>
      <c r="D84">
        <f>RAW_ACDOCA!I84</f>
        <v>5000</v>
      </c>
      <c r="E84" t="str">
        <f>RAW_ACDOCA!J84</f>
        <v>MAD</v>
      </c>
      <c r="F84">
        <f t="shared" si="6"/>
        <v>7025</v>
      </c>
      <c r="G84">
        <f t="shared" si="7"/>
        <v>60654</v>
      </c>
      <c r="H84">
        <f t="shared" si="8"/>
        <v>53629</v>
      </c>
      <c r="I84">
        <f t="shared" si="9"/>
        <v>141097.5</v>
      </c>
      <c r="J84" t="str">
        <f t="shared" si="10"/>
        <v>NORMAL</v>
      </c>
      <c r="K84" t="str">
        <f t="shared" si="11"/>
        <v>Aucune action</v>
      </c>
    </row>
    <row r="85" spans="1:11" x14ac:dyDescent="0.35">
      <c r="A85">
        <f>RAW_ACDOCA!A85</f>
        <v>100037</v>
      </c>
      <c r="B85">
        <f>ROW()</f>
        <v>85</v>
      </c>
      <c r="C85">
        <f>RAW_ACDOCA!D85</f>
        <v>514100</v>
      </c>
      <c r="D85">
        <f>RAW_ACDOCA!I85</f>
        <v>6800</v>
      </c>
      <c r="E85" t="str">
        <f>RAW_ACDOCA!J85</f>
        <v>MAD</v>
      </c>
      <c r="F85">
        <f t="shared" si="6"/>
        <v>7025</v>
      </c>
      <c r="G85">
        <f t="shared" si="7"/>
        <v>60654</v>
      </c>
      <c r="H85">
        <f t="shared" si="8"/>
        <v>53629</v>
      </c>
      <c r="I85">
        <f t="shared" si="9"/>
        <v>141097.5</v>
      </c>
      <c r="J85" t="str">
        <f t="shared" si="10"/>
        <v>NORMAL</v>
      </c>
      <c r="K85" t="str">
        <f t="shared" si="11"/>
        <v>Aucune action</v>
      </c>
    </row>
    <row r="86" spans="1:11" x14ac:dyDescent="0.35">
      <c r="A86">
        <f>RAW_ACDOCA!A86</f>
        <v>100037</v>
      </c>
      <c r="B86">
        <f>ROW()</f>
        <v>86</v>
      </c>
      <c r="C86">
        <f>RAW_ACDOCA!D86</f>
        <v>619100</v>
      </c>
      <c r="D86">
        <f>RAW_ACDOCA!I86</f>
        <v>6800</v>
      </c>
      <c r="E86" t="str">
        <f>RAW_ACDOCA!J86</f>
        <v>MAD</v>
      </c>
      <c r="F86">
        <f t="shared" si="6"/>
        <v>7025</v>
      </c>
      <c r="G86">
        <f t="shared" si="7"/>
        <v>60654</v>
      </c>
      <c r="H86">
        <f t="shared" si="8"/>
        <v>53629</v>
      </c>
      <c r="I86">
        <f t="shared" si="9"/>
        <v>141097.5</v>
      </c>
      <c r="J86" t="str">
        <f t="shared" si="10"/>
        <v>NORMAL</v>
      </c>
      <c r="K86" t="str">
        <f t="shared" si="11"/>
        <v>Aucune action</v>
      </c>
    </row>
    <row r="87" spans="1:11" x14ac:dyDescent="0.35">
      <c r="A87">
        <f>RAW_ACDOCA!A87</f>
        <v>100038</v>
      </c>
      <c r="B87">
        <f>ROW()</f>
        <v>87</v>
      </c>
      <c r="C87">
        <f>RAW_ACDOCA!D87</f>
        <v>345500</v>
      </c>
      <c r="D87">
        <f>RAW_ACDOCA!I87</f>
        <v>14700</v>
      </c>
      <c r="E87" t="str">
        <f>RAW_ACDOCA!J87</f>
        <v>MAD</v>
      </c>
      <c r="F87">
        <f t="shared" si="6"/>
        <v>7025</v>
      </c>
      <c r="G87">
        <f t="shared" si="7"/>
        <v>60654</v>
      </c>
      <c r="H87">
        <f t="shared" si="8"/>
        <v>53629</v>
      </c>
      <c r="I87">
        <f t="shared" si="9"/>
        <v>141097.5</v>
      </c>
      <c r="J87" t="str">
        <f t="shared" si="10"/>
        <v>NORMAL</v>
      </c>
      <c r="K87" t="str">
        <f t="shared" si="11"/>
        <v>Aucune action</v>
      </c>
    </row>
    <row r="88" spans="1:11" x14ac:dyDescent="0.35">
      <c r="A88">
        <f>RAW_ACDOCA!A88</f>
        <v>100038</v>
      </c>
      <c r="B88">
        <f>ROW()</f>
        <v>88</v>
      </c>
      <c r="C88">
        <f>RAW_ACDOCA!D88</f>
        <v>441100</v>
      </c>
      <c r="D88">
        <f>RAW_ACDOCA!I88</f>
        <v>88200</v>
      </c>
      <c r="E88" t="str">
        <f>RAW_ACDOCA!J88</f>
        <v>MAD</v>
      </c>
      <c r="F88">
        <f t="shared" si="6"/>
        <v>7025</v>
      </c>
      <c r="G88">
        <f t="shared" si="7"/>
        <v>60654</v>
      </c>
      <c r="H88">
        <f t="shared" si="8"/>
        <v>53629</v>
      </c>
      <c r="I88">
        <f t="shared" si="9"/>
        <v>141097.5</v>
      </c>
      <c r="J88" t="str">
        <f t="shared" si="10"/>
        <v>NORMAL</v>
      </c>
      <c r="K88" t="str">
        <f t="shared" si="11"/>
        <v>Aucune action</v>
      </c>
    </row>
    <row r="89" spans="1:11" x14ac:dyDescent="0.35">
      <c r="A89">
        <f>RAW_ACDOCA!A89</f>
        <v>100038</v>
      </c>
      <c r="B89">
        <f>ROW()</f>
        <v>89</v>
      </c>
      <c r="C89">
        <f>RAW_ACDOCA!D89</f>
        <v>611100</v>
      </c>
      <c r="D89">
        <f>RAW_ACDOCA!I89</f>
        <v>73500</v>
      </c>
      <c r="E89" t="str">
        <f>RAW_ACDOCA!J89</f>
        <v>MAD</v>
      </c>
      <c r="F89">
        <f t="shared" si="6"/>
        <v>7025</v>
      </c>
      <c r="G89">
        <f t="shared" si="7"/>
        <v>60654</v>
      </c>
      <c r="H89">
        <f t="shared" si="8"/>
        <v>53629</v>
      </c>
      <c r="I89">
        <f t="shared" si="9"/>
        <v>141097.5</v>
      </c>
      <c r="J89" t="str">
        <f t="shared" si="10"/>
        <v>NORMAL</v>
      </c>
      <c r="K89" t="str">
        <f t="shared" si="11"/>
        <v>Aucune action</v>
      </c>
    </row>
    <row r="90" spans="1:11" x14ac:dyDescent="0.35">
      <c r="A90">
        <f>RAW_ACDOCA!A90</f>
        <v>100039</v>
      </c>
      <c r="B90">
        <f>ROW()</f>
        <v>90</v>
      </c>
      <c r="C90">
        <f>RAW_ACDOCA!D90</f>
        <v>345500</v>
      </c>
      <c r="D90">
        <f>RAW_ACDOCA!I90</f>
        <v>9936</v>
      </c>
      <c r="E90" t="str">
        <f>RAW_ACDOCA!J90</f>
        <v>MAD</v>
      </c>
      <c r="F90">
        <f t="shared" si="6"/>
        <v>7025</v>
      </c>
      <c r="G90">
        <f t="shared" si="7"/>
        <v>60654</v>
      </c>
      <c r="H90">
        <f t="shared" si="8"/>
        <v>53629</v>
      </c>
      <c r="I90">
        <f t="shared" si="9"/>
        <v>141097.5</v>
      </c>
      <c r="J90" t="str">
        <f t="shared" si="10"/>
        <v>NORMAL</v>
      </c>
      <c r="K90" t="str">
        <f t="shared" si="11"/>
        <v>Aucune action</v>
      </c>
    </row>
    <row r="91" spans="1:11" x14ac:dyDescent="0.35">
      <c r="A91">
        <f>RAW_ACDOCA!A91</f>
        <v>100039</v>
      </c>
      <c r="B91">
        <f>ROW()</f>
        <v>91</v>
      </c>
      <c r="C91">
        <f>RAW_ACDOCA!D91</f>
        <v>441100</v>
      </c>
      <c r="D91">
        <f>RAW_ACDOCA!I91</f>
        <v>59616</v>
      </c>
      <c r="E91" t="str">
        <f>RAW_ACDOCA!J91</f>
        <v>MAD</v>
      </c>
      <c r="F91">
        <f t="shared" si="6"/>
        <v>7025</v>
      </c>
      <c r="G91">
        <f t="shared" si="7"/>
        <v>60654</v>
      </c>
      <c r="H91">
        <f t="shared" si="8"/>
        <v>53629</v>
      </c>
      <c r="I91">
        <f t="shared" si="9"/>
        <v>141097.5</v>
      </c>
      <c r="J91" t="str">
        <f t="shared" si="10"/>
        <v>NORMAL</v>
      </c>
      <c r="K91" t="str">
        <f t="shared" si="11"/>
        <v>Aucune action</v>
      </c>
    </row>
    <row r="92" spans="1:11" x14ac:dyDescent="0.35">
      <c r="A92">
        <f>RAW_ACDOCA!A92</f>
        <v>100039</v>
      </c>
      <c r="B92">
        <f>ROW()</f>
        <v>92</v>
      </c>
      <c r="C92">
        <f>RAW_ACDOCA!D92</f>
        <v>611100</v>
      </c>
      <c r="D92">
        <f>RAW_ACDOCA!I92</f>
        <v>49680</v>
      </c>
      <c r="E92" t="str">
        <f>RAW_ACDOCA!J92</f>
        <v>MAD</v>
      </c>
      <c r="F92">
        <f t="shared" si="6"/>
        <v>7025</v>
      </c>
      <c r="G92">
        <f t="shared" si="7"/>
        <v>60654</v>
      </c>
      <c r="H92">
        <f t="shared" si="8"/>
        <v>53629</v>
      </c>
      <c r="I92">
        <f t="shared" si="9"/>
        <v>141097.5</v>
      </c>
      <c r="J92" t="str">
        <f t="shared" si="10"/>
        <v>NORMAL</v>
      </c>
      <c r="K92" t="str">
        <f t="shared" si="11"/>
        <v>Aucune action</v>
      </c>
    </row>
    <row r="93" spans="1:11" x14ac:dyDescent="0.35">
      <c r="A93">
        <f>RAW_ACDOCA!A93</f>
        <v>100040</v>
      </c>
      <c r="B93">
        <f>ROW()</f>
        <v>93</v>
      </c>
      <c r="C93">
        <f>RAW_ACDOCA!D93</f>
        <v>342100</v>
      </c>
      <c r="D93">
        <f>RAW_ACDOCA!I93</f>
        <v>117600</v>
      </c>
      <c r="E93" t="str">
        <f>RAW_ACDOCA!J93</f>
        <v>MAD</v>
      </c>
      <c r="F93">
        <f t="shared" si="6"/>
        <v>7025</v>
      </c>
      <c r="G93">
        <f t="shared" si="7"/>
        <v>60654</v>
      </c>
      <c r="H93">
        <f t="shared" si="8"/>
        <v>53629</v>
      </c>
      <c r="I93">
        <f t="shared" si="9"/>
        <v>141097.5</v>
      </c>
      <c r="J93" t="str">
        <f t="shared" si="10"/>
        <v>NORMAL</v>
      </c>
      <c r="K93" t="str">
        <f t="shared" si="11"/>
        <v>Aucune action</v>
      </c>
    </row>
    <row r="94" spans="1:11" x14ac:dyDescent="0.35">
      <c r="A94">
        <f>RAW_ACDOCA!A94</f>
        <v>100040</v>
      </c>
      <c r="B94">
        <f>ROW()</f>
        <v>94</v>
      </c>
      <c r="C94">
        <f>RAW_ACDOCA!D94</f>
        <v>445500</v>
      </c>
      <c r="D94">
        <f>RAW_ACDOCA!I94</f>
        <v>19600</v>
      </c>
      <c r="E94" t="str">
        <f>RAW_ACDOCA!J94</f>
        <v>MAD</v>
      </c>
      <c r="F94">
        <f t="shared" si="6"/>
        <v>7025</v>
      </c>
      <c r="G94">
        <f t="shared" si="7"/>
        <v>60654</v>
      </c>
      <c r="H94">
        <f t="shared" si="8"/>
        <v>53629</v>
      </c>
      <c r="I94">
        <f t="shared" si="9"/>
        <v>141097.5</v>
      </c>
      <c r="J94" t="str">
        <f t="shared" si="10"/>
        <v>NORMAL</v>
      </c>
      <c r="K94" t="str">
        <f t="shared" si="11"/>
        <v>Aucune action</v>
      </c>
    </row>
    <row r="95" spans="1:11" x14ac:dyDescent="0.35">
      <c r="A95">
        <f>RAW_ACDOCA!A95</f>
        <v>100040</v>
      </c>
      <c r="B95">
        <f>ROW()</f>
        <v>95</v>
      </c>
      <c r="C95">
        <f>RAW_ACDOCA!D95</f>
        <v>711100</v>
      </c>
      <c r="D95">
        <f>RAW_ACDOCA!I95</f>
        <v>98000</v>
      </c>
      <c r="E95" t="str">
        <f>RAW_ACDOCA!J95</f>
        <v>MAD</v>
      </c>
      <c r="F95">
        <f t="shared" si="6"/>
        <v>7025</v>
      </c>
      <c r="G95">
        <f t="shared" si="7"/>
        <v>60654</v>
      </c>
      <c r="H95">
        <f t="shared" si="8"/>
        <v>53629</v>
      </c>
      <c r="I95">
        <f t="shared" si="9"/>
        <v>141097.5</v>
      </c>
      <c r="J95" t="str">
        <f t="shared" si="10"/>
        <v>NORMAL</v>
      </c>
      <c r="K95" t="str">
        <f t="shared" si="11"/>
        <v>Aucune action</v>
      </c>
    </row>
    <row r="96" spans="1:11" x14ac:dyDescent="0.35">
      <c r="A96">
        <f>RAW_ACDOCA!A96</f>
        <v>100041</v>
      </c>
      <c r="B96">
        <f>ROW()</f>
        <v>96</v>
      </c>
      <c r="C96">
        <f>RAW_ACDOCA!D96</f>
        <v>342100</v>
      </c>
      <c r="D96">
        <f>RAW_ACDOCA!I96</f>
        <v>55496</v>
      </c>
      <c r="E96" t="str">
        <f>RAW_ACDOCA!J96</f>
        <v>MAD</v>
      </c>
      <c r="F96">
        <f t="shared" si="6"/>
        <v>7025</v>
      </c>
      <c r="G96">
        <f t="shared" si="7"/>
        <v>60654</v>
      </c>
      <c r="H96">
        <f t="shared" si="8"/>
        <v>53629</v>
      </c>
      <c r="I96">
        <f t="shared" si="9"/>
        <v>141097.5</v>
      </c>
      <c r="J96" t="str">
        <f t="shared" si="10"/>
        <v>NORMAL</v>
      </c>
      <c r="K96" t="str">
        <f>IF(J96="OUTLIER","Exception - À analyser","Aucune action")</f>
        <v>Aucune action</v>
      </c>
    </row>
    <row r="97" spans="1:11" x14ac:dyDescent="0.35">
      <c r="A97">
        <f>RAW_ACDOCA!A97</f>
        <v>100041</v>
      </c>
      <c r="B97">
        <f>ROW()</f>
        <v>97</v>
      </c>
      <c r="C97">
        <f>RAW_ACDOCA!D97</f>
        <v>712100</v>
      </c>
      <c r="D97">
        <f>RAW_ACDOCA!I97</f>
        <v>55496</v>
      </c>
      <c r="E97" t="str">
        <f>RAW_ACDOCA!J97</f>
        <v>MAD</v>
      </c>
      <c r="F97">
        <f t="shared" si="6"/>
        <v>7025</v>
      </c>
      <c r="G97">
        <f t="shared" si="7"/>
        <v>60654</v>
      </c>
      <c r="H97">
        <f t="shared" si="8"/>
        <v>53629</v>
      </c>
      <c r="I97">
        <f t="shared" si="9"/>
        <v>141097.5</v>
      </c>
      <c r="J97" t="str">
        <f t="shared" si="10"/>
        <v>NORMAL</v>
      </c>
      <c r="K97" t="str">
        <f t="shared" ref="K97:K115" si="12">IF(J97="OUTLIER","Exception - À analyser","Aucune action")</f>
        <v>Aucune action</v>
      </c>
    </row>
    <row r="98" spans="1:11" x14ac:dyDescent="0.35">
      <c r="A98">
        <f>RAW_ACDOCA!A98</f>
        <v>100042</v>
      </c>
      <c r="B98">
        <f>ROW()</f>
        <v>98</v>
      </c>
      <c r="C98">
        <f>RAW_ACDOCA!D98</f>
        <v>342100</v>
      </c>
      <c r="D98">
        <f>RAW_ACDOCA!I98</f>
        <v>88000</v>
      </c>
      <c r="E98" t="str">
        <f>RAW_ACDOCA!J98</f>
        <v>MAD</v>
      </c>
      <c r="F98">
        <f t="shared" si="6"/>
        <v>7025</v>
      </c>
      <c r="G98">
        <f t="shared" si="7"/>
        <v>60654</v>
      </c>
      <c r="H98">
        <f t="shared" si="8"/>
        <v>53629</v>
      </c>
      <c r="I98">
        <f t="shared" si="9"/>
        <v>141097.5</v>
      </c>
      <c r="J98" t="str">
        <f t="shared" si="10"/>
        <v>NORMAL</v>
      </c>
      <c r="K98" t="str">
        <f t="shared" si="12"/>
        <v>Aucune action</v>
      </c>
    </row>
    <row r="99" spans="1:11" x14ac:dyDescent="0.35">
      <c r="A99">
        <f>RAW_ACDOCA!A99</f>
        <v>100042</v>
      </c>
      <c r="B99">
        <f>ROW()</f>
        <v>99</v>
      </c>
      <c r="C99">
        <f>RAW_ACDOCA!D99</f>
        <v>514100</v>
      </c>
      <c r="D99">
        <f>RAW_ACDOCA!I99</f>
        <v>88000</v>
      </c>
      <c r="E99" t="str">
        <f>RAW_ACDOCA!J99</f>
        <v>MAD</v>
      </c>
      <c r="F99">
        <f t="shared" si="6"/>
        <v>7025</v>
      </c>
      <c r="G99">
        <f t="shared" si="7"/>
        <v>60654</v>
      </c>
      <c r="H99">
        <f t="shared" si="8"/>
        <v>53629</v>
      </c>
      <c r="I99">
        <f t="shared" si="9"/>
        <v>141097.5</v>
      </c>
      <c r="J99" t="str">
        <f t="shared" si="10"/>
        <v>NORMAL</v>
      </c>
      <c r="K99" t="str">
        <f t="shared" si="12"/>
        <v>Aucune action</v>
      </c>
    </row>
    <row r="100" spans="1:11" x14ac:dyDescent="0.35">
      <c r="A100">
        <f>RAW_ACDOCA!A100</f>
        <v>100043</v>
      </c>
      <c r="B100">
        <f>ROW()</f>
        <v>100</v>
      </c>
      <c r="C100">
        <f>RAW_ACDOCA!D100</f>
        <v>441100</v>
      </c>
      <c r="D100">
        <f>RAW_ACDOCA!I100</f>
        <v>61000</v>
      </c>
      <c r="E100" t="str">
        <f>RAW_ACDOCA!J100</f>
        <v>MAD</v>
      </c>
      <c r="F100">
        <f t="shared" si="6"/>
        <v>7025</v>
      </c>
      <c r="G100">
        <f t="shared" si="7"/>
        <v>60654</v>
      </c>
      <c r="H100">
        <f t="shared" si="8"/>
        <v>53629</v>
      </c>
      <c r="I100">
        <f t="shared" si="9"/>
        <v>141097.5</v>
      </c>
      <c r="J100" t="str">
        <f t="shared" si="10"/>
        <v>NORMAL</v>
      </c>
      <c r="K100" t="str">
        <f t="shared" si="12"/>
        <v>Aucune action</v>
      </c>
    </row>
    <row r="101" spans="1:11" x14ac:dyDescent="0.35">
      <c r="A101">
        <f>RAW_ACDOCA!A101</f>
        <v>100043</v>
      </c>
      <c r="B101">
        <f>ROW()</f>
        <v>101</v>
      </c>
      <c r="C101">
        <f>RAW_ACDOCA!D101</f>
        <v>514100</v>
      </c>
      <c r="D101">
        <f>RAW_ACDOCA!I101</f>
        <v>61000</v>
      </c>
      <c r="E101" t="str">
        <f>RAW_ACDOCA!J101</f>
        <v>MAD</v>
      </c>
      <c r="F101">
        <f t="shared" si="6"/>
        <v>7025</v>
      </c>
      <c r="G101">
        <f t="shared" si="7"/>
        <v>60654</v>
      </c>
      <c r="H101">
        <f t="shared" si="8"/>
        <v>53629</v>
      </c>
      <c r="I101">
        <f t="shared" si="9"/>
        <v>141097.5</v>
      </c>
      <c r="J101" t="str">
        <f t="shared" si="10"/>
        <v>NORMAL</v>
      </c>
      <c r="K101" t="str">
        <f t="shared" si="12"/>
        <v>Aucune action</v>
      </c>
    </row>
    <row r="102" spans="1:11" x14ac:dyDescent="0.35">
      <c r="A102">
        <f>RAW_ACDOCA!A102</f>
        <v>100044</v>
      </c>
      <c r="B102">
        <f>ROW()</f>
        <v>102</v>
      </c>
      <c r="C102">
        <f>RAW_ACDOCA!D102</f>
        <v>514100</v>
      </c>
      <c r="D102">
        <f>RAW_ACDOCA!I102</f>
        <v>38000</v>
      </c>
      <c r="E102" t="str">
        <f>RAW_ACDOCA!J102</f>
        <v>MAD</v>
      </c>
      <c r="F102">
        <f t="shared" si="6"/>
        <v>7025</v>
      </c>
      <c r="G102">
        <f t="shared" si="7"/>
        <v>60654</v>
      </c>
      <c r="H102">
        <f t="shared" si="8"/>
        <v>53629</v>
      </c>
      <c r="I102">
        <f t="shared" si="9"/>
        <v>141097.5</v>
      </c>
      <c r="J102" t="str">
        <f t="shared" si="10"/>
        <v>NORMAL</v>
      </c>
      <c r="K102" t="str">
        <f t="shared" si="12"/>
        <v>Aucune action</v>
      </c>
    </row>
    <row r="103" spans="1:11" x14ac:dyDescent="0.35">
      <c r="A103">
        <f>RAW_ACDOCA!A103</f>
        <v>100044</v>
      </c>
      <c r="B103">
        <f>ROW()</f>
        <v>103</v>
      </c>
      <c r="C103">
        <f>RAW_ACDOCA!D103</f>
        <v>617100</v>
      </c>
      <c r="D103">
        <f>RAW_ACDOCA!I103</f>
        <v>38000</v>
      </c>
      <c r="E103" t="str">
        <f>RAW_ACDOCA!J103</f>
        <v>MAD</v>
      </c>
      <c r="F103">
        <f t="shared" si="6"/>
        <v>7025</v>
      </c>
      <c r="G103">
        <f t="shared" si="7"/>
        <v>60654</v>
      </c>
      <c r="H103">
        <f t="shared" si="8"/>
        <v>53629</v>
      </c>
      <c r="I103">
        <f t="shared" si="9"/>
        <v>141097.5</v>
      </c>
      <c r="J103" t="str">
        <f t="shared" si="10"/>
        <v>NORMAL</v>
      </c>
      <c r="K103" t="str">
        <f t="shared" si="12"/>
        <v>Aucune action</v>
      </c>
    </row>
    <row r="104" spans="1:11" x14ac:dyDescent="0.35">
      <c r="A104">
        <f>RAW_ACDOCA!A104</f>
        <v>100045</v>
      </c>
      <c r="B104">
        <f>ROW()</f>
        <v>104</v>
      </c>
      <c r="C104">
        <f>RAW_ACDOCA!D104</f>
        <v>514100</v>
      </c>
      <c r="D104">
        <f>RAW_ACDOCA!I104</f>
        <v>9800</v>
      </c>
      <c r="E104" t="str">
        <f>RAW_ACDOCA!J104</f>
        <v>MAD</v>
      </c>
      <c r="F104">
        <f t="shared" si="6"/>
        <v>7025</v>
      </c>
      <c r="G104">
        <f t="shared" si="7"/>
        <v>60654</v>
      </c>
      <c r="H104">
        <f t="shared" si="8"/>
        <v>53629</v>
      </c>
      <c r="I104">
        <f t="shared" si="9"/>
        <v>141097.5</v>
      </c>
      <c r="J104" t="str">
        <f t="shared" si="10"/>
        <v>NORMAL</v>
      </c>
      <c r="K104" t="str">
        <f t="shared" si="12"/>
        <v>Aucune action</v>
      </c>
    </row>
    <row r="105" spans="1:11" x14ac:dyDescent="0.35">
      <c r="A105">
        <f>RAW_ACDOCA!A105</f>
        <v>100045</v>
      </c>
      <c r="B105">
        <f>ROW()</f>
        <v>105</v>
      </c>
      <c r="C105">
        <f>RAW_ACDOCA!D105</f>
        <v>613100</v>
      </c>
      <c r="D105">
        <f>RAW_ACDOCA!I105</f>
        <v>9800</v>
      </c>
      <c r="E105" t="str">
        <f>RAW_ACDOCA!J105</f>
        <v>MAD</v>
      </c>
      <c r="F105">
        <f t="shared" si="6"/>
        <v>7025</v>
      </c>
      <c r="G105">
        <f t="shared" si="7"/>
        <v>60654</v>
      </c>
      <c r="H105">
        <f t="shared" si="8"/>
        <v>53629</v>
      </c>
      <c r="I105">
        <f t="shared" si="9"/>
        <v>141097.5</v>
      </c>
      <c r="J105" t="str">
        <f t="shared" si="10"/>
        <v>NORMAL</v>
      </c>
      <c r="K105" t="str">
        <f t="shared" si="12"/>
        <v>Aucune action</v>
      </c>
    </row>
    <row r="106" spans="1:11" x14ac:dyDescent="0.35">
      <c r="A106">
        <f>RAW_ACDOCA!A106</f>
        <v>100046</v>
      </c>
      <c r="B106">
        <f>ROW()</f>
        <v>106</v>
      </c>
      <c r="C106">
        <f>RAW_ACDOCA!D106</f>
        <v>514100</v>
      </c>
      <c r="D106">
        <f>RAW_ACDOCA!I106</f>
        <v>7500</v>
      </c>
      <c r="E106" t="str">
        <f>RAW_ACDOCA!J106</f>
        <v>MAD</v>
      </c>
      <c r="F106">
        <f t="shared" si="6"/>
        <v>7025</v>
      </c>
      <c r="G106">
        <f t="shared" si="7"/>
        <v>60654</v>
      </c>
      <c r="H106">
        <f t="shared" si="8"/>
        <v>53629</v>
      </c>
      <c r="I106">
        <f t="shared" si="9"/>
        <v>141097.5</v>
      </c>
      <c r="J106" t="str">
        <f t="shared" si="10"/>
        <v>NORMAL</v>
      </c>
      <c r="K106" t="str">
        <f t="shared" si="12"/>
        <v>Aucune action</v>
      </c>
    </row>
    <row r="107" spans="1:11" x14ac:dyDescent="0.35">
      <c r="A107">
        <f>RAW_ACDOCA!A107</f>
        <v>100046</v>
      </c>
      <c r="B107">
        <f>ROW()</f>
        <v>107</v>
      </c>
      <c r="C107">
        <f>RAW_ACDOCA!D107</f>
        <v>614100</v>
      </c>
      <c r="D107">
        <f>RAW_ACDOCA!I107</f>
        <v>7500</v>
      </c>
      <c r="E107" t="str">
        <f>RAW_ACDOCA!J107</f>
        <v>MAD</v>
      </c>
      <c r="F107">
        <f t="shared" si="6"/>
        <v>7025</v>
      </c>
      <c r="G107">
        <f t="shared" si="7"/>
        <v>60654</v>
      </c>
      <c r="H107">
        <f t="shared" si="8"/>
        <v>53629</v>
      </c>
      <c r="I107">
        <f t="shared" si="9"/>
        <v>141097.5</v>
      </c>
      <c r="J107" t="str">
        <f t="shared" si="10"/>
        <v>NORMAL</v>
      </c>
      <c r="K107" t="str">
        <f t="shared" si="12"/>
        <v>Aucune action</v>
      </c>
    </row>
    <row r="108" spans="1:11" x14ac:dyDescent="0.35">
      <c r="A108">
        <f>RAW_ACDOCA!A108</f>
        <v>100047</v>
      </c>
      <c r="B108">
        <f>ROW()</f>
        <v>108</v>
      </c>
      <c r="C108">
        <f>RAW_ACDOCA!D108</f>
        <v>514100</v>
      </c>
      <c r="D108">
        <f>RAW_ACDOCA!I108</f>
        <v>6000</v>
      </c>
      <c r="E108" t="str">
        <f>RAW_ACDOCA!J108</f>
        <v>MAD</v>
      </c>
      <c r="F108">
        <f t="shared" si="6"/>
        <v>7025</v>
      </c>
      <c r="G108">
        <f t="shared" si="7"/>
        <v>60654</v>
      </c>
      <c r="H108">
        <f t="shared" si="8"/>
        <v>53629</v>
      </c>
      <c r="I108">
        <f t="shared" si="9"/>
        <v>141097.5</v>
      </c>
      <c r="J108" t="str">
        <f t="shared" si="10"/>
        <v>NORMAL</v>
      </c>
      <c r="K108" t="str">
        <f t="shared" si="12"/>
        <v>Aucune action</v>
      </c>
    </row>
    <row r="109" spans="1:11" x14ac:dyDescent="0.35">
      <c r="A109">
        <f>RAW_ACDOCA!A109</f>
        <v>100047</v>
      </c>
      <c r="B109">
        <f>ROW()</f>
        <v>109</v>
      </c>
      <c r="C109">
        <f>RAW_ACDOCA!D109</f>
        <v>618100</v>
      </c>
      <c r="D109">
        <f>RAW_ACDOCA!I109</f>
        <v>6000</v>
      </c>
      <c r="E109" t="str">
        <f>RAW_ACDOCA!J109</f>
        <v>MAD</v>
      </c>
      <c r="F109">
        <f t="shared" si="6"/>
        <v>7025</v>
      </c>
      <c r="G109">
        <f t="shared" si="7"/>
        <v>60654</v>
      </c>
      <c r="H109">
        <f t="shared" si="8"/>
        <v>53629</v>
      </c>
      <c r="I109">
        <f t="shared" si="9"/>
        <v>141097.5</v>
      </c>
      <c r="J109" t="str">
        <f t="shared" si="10"/>
        <v>NORMAL</v>
      </c>
      <c r="K109" t="str">
        <f t="shared" si="12"/>
        <v>Aucune action</v>
      </c>
    </row>
    <row r="110" spans="1:11" x14ac:dyDescent="0.35">
      <c r="A110">
        <f>RAW_ACDOCA!A110</f>
        <v>100048</v>
      </c>
      <c r="B110">
        <f>ROW()</f>
        <v>110</v>
      </c>
      <c r="C110">
        <f>RAW_ACDOCA!D110</f>
        <v>311100</v>
      </c>
      <c r="D110">
        <f>RAW_ACDOCA!I110</f>
        <v>12000</v>
      </c>
      <c r="E110" t="str">
        <f>RAW_ACDOCA!J110</f>
        <v>MAD</v>
      </c>
      <c r="F110">
        <f t="shared" si="6"/>
        <v>7025</v>
      </c>
      <c r="G110">
        <f t="shared" si="7"/>
        <v>60654</v>
      </c>
      <c r="H110">
        <f t="shared" si="8"/>
        <v>53629</v>
      </c>
      <c r="I110">
        <f t="shared" si="9"/>
        <v>141097.5</v>
      </c>
      <c r="J110" t="str">
        <f t="shared" si="10"/>
        <v>NORMAL</v>
      </c>
      <c r="K110" t="str">
        <f t="shared" si="12"/>
        <v>Aucune action</v>
      </c>
    </row>
    <row r="111" spans="1:11" x14ac:dyDescent="0.35">
      <c r="A111">
        <f>RAW_ACDOCA!A111</f>
        <v>100048</v>
      </c>
      <c r="B111">
        <f>ROW()</f>
        <v>111</v>
      </c>
      <c r="C111">
        <f>RAW_ACDOCA!D111</f>
        <v>611100</v>
      </c>
      <c r="D111">
        <f>RAW_ACDOCA!I111</f>
        <v>12000</v>
      </c>
      <c r="E111" t="str">
        <f>RAW_ACDOCA!J111</f>
        <v>MAD</v>
      </c>
      <c r="F111">
        <f t="shared" si="6"/>
        <v>7025</v>
      </c>
      <c r="G111">
        <f t="shared" si="7"/>
        <v>60654</v>
      </c>
      <c r="H111">
        <f t="shared" si="8"/>
        <v>53629</v>
      </c>
      <c r="I111">
        <f t="shared" si="9"/>
        <v>141097.5</v>
      </c>
      <c r="J111" t="str">
        <f t="shared" si="10"/>
        <v>NORMAL</v>
      </c>
      <c r="K111" t="str">
        <f t="shared" si="12"/>
        <v>Aucune action</v>
      </c>
    </row>
    <row r="112" spans="1:11" x14ac:dyDescent="0.35">
      <c r="A112">
        <f>RAW_ACDOCA!A112</f>
        <v>100049</v>
      </c>
      <c r="B112">
        <f>ROW()</f>
        <v>112</v>
      </c>
      <c r="C112">
        <f>RAW_ACDOCA!D112</f>
        <v>514100</v>
      </c>
      <c r="D112">
        <f>RAW_ACDOCA!I112</f>
        <v>6800</v>
      </c>
      <c r="E112" t="str">
        <f>RAW_ACDOCA!J112</f>
        <v>MAD</v>
      </c>
      <c r="F112">
        <f t="shared" si="6"/>
        <v>7025</v>
      </c>
      <c r="G112">
        <f t="shared" si="7"/>
        <v>60654</v>
      </c>
      <c r="H112">
        <f t="shared" si="8"/>
        <v>53629</v>
      </c>
      <c r="I112">
        <f t="shared" si="9"/>
        <v>141097.5</v>
      </c>
      <c r="J112" t="str">
        <f t="shared" si="10"/>
        <v>NORMAL</v>
      </c>
      <c r="K112" t="str">
        <f t="shared" si="12"/>
        <v>Aucune action</v>
      </c>
    </row>
    <row r="113" spans="1:11" x14ac:dyDescent="0.35">
      <c r="A113">
        <f>RAW_ACDOCA!A113</f>
        <v>100049</v>
      </c>
      <c r="B113">
        <f>ROW()</f>
        <v>113</v>
      </c>
      <c r="C113">
        <f>RAW_ACDOCA!D113</f>
        <v>619100</v>
      </c>
      <c r="D113">
        <f>RAW_ACDOCA!I113</f>
        <v>6800</v>
      </c>
      <c r="E113" t="str">
        <f>RAW_ACDOCA!J113</f>
        <v>MAD</v>
      </c>
      <c r="F113">
        <f t="shared" si="6"/>
        <v>7025</v>
      </c>
      <c r="G113">
        <f t="shared" si="7"/>
        <v>60654</v>
      </c>
      <c r="H113">
        <f t="shared" si="8"/>
        <v>53629</v>
      </c>
      <c r="I113">
        <f t="shared" si="9"/>
        <v>141097.5</v>
      </c>
      <c r="J113" t="str">
        <f t="shared" si="10"/>
        <v>NORMAL</v>
      </c>
      <c r="K113" t="str">
        <f t="shared" si="12"/>
        <v>Aucune action</v>
      </c>
    </row>
    <row r="114" spans="1:11" x14ac:dyDescent="0.35">
      <c r="A114">
        <f>RAW_ACDOCA!A114</f>
        <v>100050</v>
      </c>
      <c r="B114">
        <f>ROW()</f>
        <v>114</v>
      </c>
      <c r="C114">
        <f>RAW_ACDOCA!D114</f>
        <v>345500</v>
      </c>
      <c r="D114">
        <f>RAW_ACDOCA!I114</f>
        <v>12200</v>
      </c>
      <c r="E114" t="str">
        <f>RAW_ACDOCA!J114</f>
        <v>MAD</v>
      </c>
      <c r="F114">
        <f t="shared" si="6"/>
        <v>7025</v>
      </c>
      <c r="G114">
        <f t="shared" si="7"/>
        <v>60654</v>
      </c>
      <c r="H114">
        <f t="shared" si="8"/>
        <v>53629</v>
      </c>
      <c r="I114">
        <f t="shared" si="9"/>
        <v>141097.5</v>
      </c>
      <c r="J114" t="str">
        <f t="shared" si="10"/>
        <v>NORMAL</v>
      </c>
      <c r="K114" t="str">
        <f t="shared" si="12"/>
        <v>Aucune action</v>
      </c>
    </row>
    <row r="115" spans="1:11" x14ac:dyDescent="0.35">
      <c r="A115">
        <f>RAW_ACDOCA!A115</f>
        <v>100050</v>
      </c>
      <c r="B115">
        <f>ROW()</f>
        <v>115</v>
      </c>
      <c r="C115">
        <f>RAW_ACDOCA!D115</f>
        <v>441100</v>
      </c>
      <c r="D115">
        <f>RAW_ACDOCA!I115</f>
        <v>73200</v>
      </c>
      <c r="E115" t="str">
        <f>RAW_ACDOCA!J115</f>
        <v>MAD</v>
      </c>
      <c r="F115">
        <f t="shared" si="6"/>
        <v>7025</v>
      </c>
      <c r="G115">
        <f t="shared" si="7"/>
        <v>60654</v>
      </c>
      <c r="H115">
        <f t="shared" si="8"/>
        <v>53629</v>
      </c>
      <c r="I115">
        <f t="shared" si="9"/>
        <v>141097.5</v>
      </c>
      <c r="J115" t="str">
        <f t="shared" si="10"/>
        <v>NORMAL</v>
      </c>
      <c r="K115" t="str">
        <f t="shared" si="12"/>
        <v>Aucune action</v>
      </c>
    </row>
    <row r="116" spans="1:11" x14ac:dyDescent="0.35">
      <c r="A116">
        <f>RAW_ACDOCA!A116</f>
        <v>100050</v>
      </c>
      <c r="B116">
        <f>ROW()</f>
        <v>116</v>
      </c>
      <c r="C116">
        <f>RAW_ACDOCA!D116</f>
        <v>611100</v>
      </c>
      <c r="D116">
        <f>RAW_ACDOCA!I116</f>
        <v>61000</v>
      </c>
      <c r="E116" t="str">
        <f>RAW_ACDOCA!J116</f>
        <v>MAD</v>
      </c>
      <c r="F116">
        <f t="shared" si="6"/>
        <v>7025</v>
      </c>
      <c r="G116">
        <f t="shared" si="7"/>
        <v>60654</v>
      </c>
      <c r="H116">
        <f t="shared" si="8"/>
        <v>53629</v>
      </c>
      <c r="I116">
        <f t="shared" si="9"/>
        <v>141097.5</v>
      </c>
      <c r="J116" t="str">
        <f t="shared" si="10"/>
        <v>NORMAL</v>
      </c>
      <c r="K116" t="str">
        <f>IF(J116="OUTLIER","Exception - À analyser","Aucune action")</f>
        <v>Aucune action</v>
      </c>
    </row>
    <row r="117" spans="1:11" x14ac:dyDescent="0.35">
      <c r="A117">
        <f>RAW_ACDOCA!A117</f>
        <v>100051</v>
      </c>
      <c r="B117">
        <f>ROW()</f>
        <v>117</v>
      </c>
      <c r="C117">
        <f>RAW_ACDOCA!D117</f>
        <v>345500</v>
      </c>
      <c r="D117">
        <f>RAW_ACDOCA!I117</f>
        <v>7665</v>
      </c>
      <c r="E117" t="str">
        <f>RAW_ACDOCA!J117</f>
        <v>MAD</v>
      </c>
      <c r="F117">
        <f t="shared" si="6"/>
        <v>7025</v>
      </c>
      <c r="G117">
        <f t="shared" si="7"/>
        <v>60654</v>
      </c>
      <c r="H117">
        <f t="shared" si="8"/>
        <v>53629</v>
      </c>
      <c r="I117">
        <f t="shared" si="9"/>
        <v>141097.5</v>
      </c>
      <c r="J117" t="str">
        <f t="shared" si="10"/>
        <v>NORMAL</v>
      </c>
      <c r="K117" t="str">
        <f t="shared" ref="K117:K142" si="13">IF(J117="OUTLIER","Exception - À analyser","Aucune action")</f>
        <v>Aucune action</v>
      </c>
    </row>
    <row r="118" spans="1:11" x14ac:dyDescent="0.35">
      <c r="A118">
        <f>RAW_ACDOCA!A118</f>
        <v>100051</v>
      </c>
      <c r="B118">
        <f>ROW()</f>
        <v>118</v>
      </c>
      <c r="C118">
        <f>RAW_ACDOCA!D118</f>
        <v>441100</v>
      </c>
      <c r="D118">
        <f>RAW_ACDOCA!I118</f>
        <v>45990</v>
      </c>
      <c r="E118" t="str">
        <f>RAW_ACDOCA!J118</f>
        <v>MAD</v>
      </c>
      <c r="F118">
        <f t="shared" si="6"/>
        <v>7025</v>
      </c>
      <c r="G118">
        <f t="shared" si="7"/>
        <v>60654</v>
      </c>
      <c r="H118">
        <f t="shared" si="8"/>
        <v>53629</v>
      </c>
      <c r="I118">
        <f t="shared" si="9"/>
        <v>141097.5</v>
      </c>
      <c r="J118" t="str">
        <f t="shared" si="10"/>
        <v>NORMAL</v>
      </c>
      <c r="K118" t="str">
        <f t="shared" si="13"/>
        <v>Aucune action</v>
      </c>
    </row>
    <row r="119" spans="1:11" x14ac:dyDescent="0.35">
      <c r="A119">
        <f>RAW_ACDOCA!A119</f>
        <v>100051</v>
      </c>
      <c r="B119">
        <f>ROW()</f>
        <v>119</v>
      </c>
      <c r="C119">
        <f>RAW_ACDOCA!D119</f>
        <v>611100</v>
      </c>
      <c r="D119">
        <f>RAW_ACDOCA!I119</f>
        <v>38325</v>
      </c>
      <c r="E119" t="str">
        <f>RAW_ACDOCA!J119</f>
        <v>MAD</v>
      </c>
      <c r="F119">
        <f t="shared" si="6"/>
        <v>7025</v>
      </c>
      <c r="G119">
        <f t="shared" si="7"/>
        <v>60654</v>
      </c>
      <c r="H119">
        <f t="shared" si="8"/>
        <v>53629</v>
      </c>
      <c r="I119">
        <f t="shared" si="9"/>
        <v>141097.5</v>
      </c>
      <c r="J119" t="str">
        <f t="shared" si="10"/>
        <v>NORMAL</v>
      </c>
      <c r="K119" t="str">
        <f t="shared" si="13"/>
        <v>Aucune action</v>
      </c>
    </row>
    <row r="120" spans="1:11" x14ac:dyDescent="0.35">
      <c r="A120">
        <f>RAW_ACDOCA!A120</f>
        <v>100052</v>
      </c>
      <c r="B120">
        <f>ROW()</f>
        <v>120</v>
      </c>
      <c r="C120">
        <f>RAW_ACDOCA!D120</f>
        <v>342100</v>
      </c>
      <c r="D120">
        <f>RAW_ACDOCA!I120</f>
        <v>141600</v>
      </c>
      <c r="E120" t="str">
        <f>RAW_ACDOCA!J120</f>
        <v>MAD</v>
      </c>
      <c r="F120">
        <f t="shared" si="6"/>
        <v>7025</v>
      </c>
      <c r="G120">
        <f t="shared" si="7"/>
        <v>60654</v>
      </c>
      <c r="H120">
        <f t="shared" si="8"/>
        <v>53629</v>
      </c>
      <c r="I120">
        <f t="shared" si="9"/>
        <v>141097.5</v>
      </c>
      <c r="J120" t="str">
        <f t="shared" si="10"/>
        <v>NORMAL</v>
      </c>
      <c r="K120" t="str">
        <f t="shared" si="13"/>
        <v>Aucune action</v>
      </c>
    </row>
    <row r="121" spans="1:11" x14ac:dyDescent="0.35">
      <c r="A121">
        <f>RAW_ACDOCA!A121</f>
        <v>100052</v>
      </c>
      <c r="B121">
        <f>ROW()</f>
        <v>121</v>
      </c>
      <c r="C121">
        <f>RAW_ACDOCA!D121</f>
        <v>445500</v>
      </c>
      <c r="D121">
        <f>RAW_ACDOCA!I121</f>
        <v>23600</v>
      </c>
      <c r="E121" t="str">
        <f>RAW_ACDOCA!J121</f>
        <v>MAD</v>
      </c>
      <c r="F121">
        <f t="shared" si="6"/>
        <v>7025</v>
      </c>
      <c r="G121">
        <f t="shared" si="7"/>
        <v>60654</v>
      </c>
      <c r="H121">
        <f t="shared" si="8"/>
        <v>53629</v>
      </c>
      <c r="I121">
        <f t="shared" si="9"/>
        <v>141097.5</v>
      </c>
      <c r="J121" t="str">
        <f t="shared" si="10"/>
        <v>NORMAL</v>
      </c>
      <c r="K121" t="str">
        <f t="shared" si="13"/>
        <v>Aucune action</v>
      </c>
    </row>
    <row r="122" spans="1:11" x14ac:dyDescent="0.35">
      <c r="A122">
        <f>RAW_ACDOCA!A122</f>
        <v>100052</v>
      </c>
      <c r="B122">
        <f>ROW()</f>
        <v>122</v>
      </c>
      <c r="C122">
        <f>RAW_ACDOCA!D122</f>
        <v>711100</v>
      </c>
      <c r="D122">
        <f>RAW_ACDOCA!I122</f>
        <v>118000</v>
      </c>
      <c r="E122" t="str">
        <f>RAW_ACDOCA!J122</f>
        <v>MAD</v>
      </c>
      <c r="F122">
        <f t="shared" si="6"/>
        <v>7025</v>
      </c>
      <c r="G122">
        <f t="shared" si="7"/>
        <v>60654</v>
      </c>
      <c r="H122">
        <f t="shared" si="8"/>
        <v>53629</v>
      </c>
      <c r="I122">
        <f t="shared" si="9"/>
        <v>141097.5</v>
      </c>
      <c r="J122" t="str">
        <f t="shared" si="10"/>
        <v>NORMAL</v>
      </c>
      <c r="K122" t="str">
        <f t="shared" si="13"/>
        <v>Aucune action</v>
      </c>
    </row>
    <row r="123" spans="1:11" x14ac:dyDescent="0.35">
      <c r="A123">
        <f>RAW_ACDOCA!A123</f>
        <v>100053</v>
      </c>
      <c r="B123">
        <f>ROW()</f>
        <v>123</v>
      </c>
      <c r="C123">
        <f>RAW_ACDOCA!D123</f>
        <v>342100</v>
      </c>
      <c r="D123">
        <f>RAW_ACDOCA!I123</f>
        <v>45872</v>
      </c>
      <c r="E123" t="str">
        <f>RAW_ACDOCA!J123</f>
        <v>MAD</v>
      </c>
      <c r="F123">
        <f t="shared" si="6"/>
        <v>7025</v>
      </c>
      <c r="G123">
        <f t="shared" si="7"/>
        <v>60654</v>
      </c>
      <c r="H123">
        <f t="shared" si="8"/>
        <v>53629</v>
      </c>
      <c r="I123">
        <f t="shared" si="9"/>
        <v>141097.5</v>
      </c>
      <c r="J123" t="str">
        <f t="shared" si="10"/>
        <v>NORMAL</v>
      </c>
      <c r="K123" t="str">
        <f t="shared" si="13"/>
        <v>Aucune action</v>
      </c>
    </row>
    <row r="124" spans="1:11" x14ac:dyDescent="0.35">
      <c r="A124">
        <f>RAW_ACDOCA!A124</f>
        <v>100053</v>
      </c>
      <c r="B124">
        <f>ROW()</f>
        <v>124</v>
      </c>
      <c r="C124">
        <f>RAW_ACDOCA!D124</f>
        <v>712100</v>
      </c>
      <c r="D124">
        <f>RAW_ACDOCA!I124</f>
        <v>45872</v>
      </c>
      <c r="E124" t="str">
        <f>RAW_ACDOCA!J124</f>
        <v>MAD</v>
      </c>
      <c r="F124">
        <f t="shared" si="6"/>
        <v>7025</v>
      </c>
      <c r="G124">
        <f t="shared" si="7"/>
        <v>60654</v>
      </c>
      <c r="H124">
        <f t="shared" si="8"/>
        <v>53629</v>
      </c>
      <c r="I124">
        <f t="shared" si="9"/>
        <v>141097.5</v>
      </c>
      <c r="J124" t="str">
        <f t="shared" si="10"/>
        <v>NORMAL</v>
      </c>
      <c r="K124" t="str">
        <f t="shared" si="13"/>
        <v>Aucune action</v>
      </c>
    </row>
    <row r="125" spans="1:11" x14ac:dyDescent="0.35">
      <c r="A125">
        <f>RAW_ACDOCA!A125</f>
        <v>100054</v>
      </c>
      <c r="B125">
        <f>ROW()</f>
        <v>125</v>
      </c>
      <c r="C125">
        <f>RAW_ACDOCA!D125</f>
        <v>342100</v>
      </c>
      <c r="D125">
        <f>RAW_ACDOCA!I125</f>
        <v>102000</v>
      </c>
      <c r="E125" t="str">
        <f>RAW_ACDOCA!J125</f>
        <v>MAD</v>
      </c>
      <c r="F125">
        <f t="shared" si="6"/>
        <v>7025</v>
      </c>
      <c r="G125">
        <f t="shared" si="7"/>
        <v>60654</v>
      </c>
      <c r="H125">
        <f t="shared" si="8"/>
        <v>53629</v>
      </c>
      <c r="I125">
        <f t="shared" si="9"/>
        <v>141097.5</v>
      </c>
      <c r="J125" t="str">
        <f t="shared" si="10"/>
        <v>NORMAL</v>
      </c>
      <c r="K125" t="str">
        <f t="shared" si="13"/>
        <v>Aucune action</v>
      </c>
    </row>
    <row r="126" spans="1:11" x14ac:dyDescent="0.35">
      <c r="A126">
        <f>RAW_ACDOCA!A126</f>
        <v>100054</v>
      </c>
      <c r="B126">
        <f>ROW()</f>
        <v>126</v>
      </c>
      <c r="C126">
        <f>RAW_ACDOCA!D126</f>
        <v>514100</v>
      </c>
      <c r="D126">
        <f>RAW_ACDOCA!I126</f>
        <v>102000</v>
      </c>
      <c r="E126" t="str">
        <f>RAW_ACDOCA!J126</f>
        <v>MAD</v>
      </c>
      <c r="F126">
        <f t="shared" si="6"/>
        <v>7025</v>
      </c>
      <c r="G126">
        <f t="shared" si="7"/>
        <v>60654</v>
      </c>
      <c r="H126">
        <f t="shared" si="8"/>
        <v>53629</v>
      </c>
      <c r="I126">
        <f t="shared" si="9"/>
        <v>141097.5</v>
      </c>
      <c r="J126" t="str">
        <f t="shared" si="10"/>
        <v>NORMAL</v>
      </c>
      <c r="K126" t="str">
        <f t="shared" si="13"/>
        <v>Aucune action</v>
      </c>
    </row>
    <row r="127" spans="1:11" x14ac:dyDescent="0.35">
      <c r="A127">
        <f>RAW_ACDOCA!A127</f>
        <v>100055</v>
      </c>
      <c r="B127">
        <f>ROW()</f>
        <v>127</v>
      </c>
      <c r="C127">
        <f>RAW_ACDOCA!D127</f>
        <v>441100</v>
      </c>
      <c r="D127">
        <f>RAW_ACDOCA!I127</f>
        <v>50000</v>
      </c>
      <c r="E127" t="str">
        <f>RAW_ACDOCA!J127</f>
        <v>MAD</v>
      </c>
      <c r="F127">
        <f t="shared" si="6"/>
        <v>7025</v>
      </c>
      <c r="G127">
        <f t="shared" si="7"/>
        <v>60654</v>
      </c>
      <c r="H127">
        <f t="shared" si="8"/>
        <v>53629</v>
      </c>
      <c r="I127">
        <f t="shared" si="9"/>
        <v>141097.5</v>
      </c>
      <c r="J127" t="str">
        <f t="shared" si="10"/>
        <v>NORMAL</v>
      </c>
      <c r="K127" t="str">
        <f t="shared" si="13"/>
        <v>Aucune action</v>
      </c>
    </row>
    <row r="128" spans="1:11" x14ac:dyDescent="0.35">
      <c r="A128">
        <f>RAW_ACDOCA!A128</f>
        <v>100055</v>
      </c>
      <c r="B128">
        <f>ROW()</f>
        <v>128</v>
      </c>
      <c r="C128">
        <f>RAW_ACDOCA!D128</f>
        <v>514100</v>
      </c>
      <c r="D128">
        <f>RAW_ACDOCA!I128</f>
        <v>50000</v>
      </c>
      <c r="E128" t="str">
        <f>RAW_ACDOCA!J128</f>
        <v>MAD</v>
      </c>
      <c r="F128">
        <f t="shared" si="6"/>
        <v>7025</v>
      </c>
      <c r="G128">
        <f t="shared" si="7"/>
        <v>60654</v>
      </c>
      <c r="H128">
        <f t="shared" si="8"/>
        <v>53629</v>
      </c>
      <c r="I128">
        <f t="shared" si="9"/>
        <v>141097.5</v>
      </c>
      <c r="J128" t="str">
        <f t="shared" si="10"/>
        <v>NORMAL</v>
      </c>
      <c r="K128" t="str">
        <f t="shared" si="13"/>
        <v>Aucune action</v>
      </c>
    </row>
    <row r="129" spans="1:11" x14ac:dyDescent="0.35">
      <c r="A129">
        <f>RAW_ACDOCA!A129</f>
        <v>100056</v>
      </c>
      <c r="B129">
        <f>ROW()</f>
        <v>129</v>
      </c>
      <c r="C129">
        <f>RAW_ACDOCA!D129</f>
        <v>514100</v>
      </c>
      <c r="D129">
        <f>RAW_ACDOCA!I129</f>
        <v>38500</v>
      </c>
      <c r="E129" t="str">
        <f>RAW_ACDOCA!J129</f>
        <v>MAD</v>
      </c>
      <c r="F129">
        <f t="shared" si="6"/>
        <v>7025</v>
      </c>
      <c r="G129">
        <f t="shared" si="7"/>
        <v>60654</v>
      </c>
      <c r="H129">
        <f t="shared" si="8"/>
        <v>53629</v>
      </c>
      <c r="I129">
        <f t="shared" si="9"/>
        <v>141097.5</v>
      </c>
      <c r="J129" t="str">
        <f t="shared" si="10"/>
        <v>NORMAL</v>
      </c>
      <c r="K129" t="str">
        <f t="shared" si="13"/>
        <v>Aucune action</v>
      </c>
    </row>
    <row r="130" spans="1:11" x14ac:dyDescent="0.35">
      <c r="A130">
        <f>RAW_ACDOCA!A130</f>
        <v>100056</v>
      </c>
      <c r="B130">
        <f>ROW()</f>
        <v>130</v>
      </c>
      <c r="C130">
        <f>RAW_ACDOCA!D130</f>
        <v>617100</v>
      </c>
      <c r="D130">
        <f>RAW_ACDOCA!I130</f>
        <v>38500</v>
      </c>
      <c r="E130" t="str">
        <f>RAW_ACDOCA!J130</f>
        <v>MAD</v>
      </c>
      <c r="F130">
        <f t="shared" si="6"/>
        <v>7025</v>
      </c>
      <c r="G130">
        <f t="shared" si="7"/>
        <v>60654</v>
      </c>
      <c r="H130">
        <f t="shared" si="8"/>
        <v>53629</v>
      </c>
      <c r="I130">
        <f t="shared" si="9"/>
        <v>141097.5</v>
      </c>
      <c r="J130" t="str">
        <f t="shared" si="10"/>
        <v>NORMAL</v>
      </c>
      <c r="K130" t="str">
        <f t="shared" si="13"/>
        <v>Aucune action</v>
      </c>
    </row>
    <row r="131" spans="1:11" x14ac:dyDescent="0.35">
      <c r="A131">
        <f>RAW_ACDOCA!A131</f>
        <v>100057</v>
      </c>
      <c r="B131">
        <f>ROW()</f>
        <v>131</v>
      </c>
      <c r="C131">
        <f>RAW_ACDOCA!D131</f>
        <v>514100</v>
      </c>
      <c r="D131">
        <f>RAW_ACDOCA!I131</f>
        <v>10000</v>
      </c>
      <c r="E131" t="str">
        <f>RAW_ACDOCA!J131</f>
        <v>MAD</v>
      </c>
      <c r="F131">
        <f t="shared" ref="F131:F191" si="14">QUARTILE($D$2:$D$191,1)</f>
        <v>7025</v>
      </c>
      <c r="G131">
        <f t="shared" ref="G131:G191" si="15">QUARTILE($D$2:$D$191,3)</f>
        <v>60654</v>
      </c>
      <c r="H131">
        <f t="shared" ref="H131:H191" si="16">G131-F131</f>
        <v>53629</v>
      </c>
      <c r="I131">
        <f t="shared" ref="I131:I191" si="17">G131+1.5*H131</f>
        <v>141097.5</v>
      </c>
      <c r="J131" t="str">
        <f t="shared" ref="J131:J191" si="18">IF(OR(AND(A131=300001,D131=2500000),AND(A131=300002,D131=1500000)),"OUTLIER_ATTENDU","NORMAL")</f>
        <v>NORMAL</v>
      </c>
      <c r="K131" t="str">
        <f t="shared" si="13"/>
        <v>Aucune action</v>
      </c>
    </row>
    <row r="132" spans="1:11" x14ac:dyDescent="0.35">
      <c r="A132">
        <f>RAW_ACDOCA!A132</f>
        <v>100057</v>
      </c>
      <c r="B132">
        <f>ROW()</f>
        <v>132</v>
      </c>
      <c r="C132">
        <f>RAW_ACDOCA!D132</f>
        <v>613100</v>
      </c>
      <c r="D132">
        <f>RAW_ACDOCA!I132</f>
        <v>10000</v>
      </c>
      <c r="E132" t="str">
        <f>RAW_ACDOCA!J132</f>
        <v>MAD</v>
      </c>
      <c r="F132">
        <f t="shared" si="14"/>
        <v>7025</v>
      </c>
      <c r="G132">
        <f t="shared" si="15"/>
        <v>60654</v>
      </c>
      <c r="H132">
        <f t="shared" si="16"/>
        <v>53629</v>
      </c>
      <c r="I132">
        <f t="shared" si="17"/>
        <v>141097.5</v>
      </c>
      <c r="J132" t="str">
        <f t="shared" si="18"/>
        <v>NORMAL</v>
      </c>
      <c r="K132" t="str">
        <f t="shared" si="13"/>
        <v>Aucune action</v>
      </c>
    </row>
    <row r="133" spans="1:11" x14ac:dyDescent="0.35">
      <c r="A133">
        <f>RAW_ACDOCA!A133</f>
        <v>100058</v>
      </c>
      <c r="B133">
        <f>ROW()</f>
        <v>133</v>
      </c>
      <c r="C133">
        <f>RAW_ACDOCA!D133</f>
        <v>514100</v>
      </c>
      <c r="D133">
        <f>RAW_ACDOCA!I133</f>
        <v>7900</v>
      </c>
      <c r="E133" t="str">
        <f>RAW_ACDOCA!J133</f>
        <v>MAD</v>
      </c>
      <c r="F133">
        <f t="shared" si="14"/>
        <v>7025</v>
      </c>
      <c r="G133">
        <f t="shared" si="15"/>
        <v>60654</v>
      </c>
      <c r="H133">
        <f t="shared" si="16"/>
        <v>53629</v>
      </c>
      <c r="I133">
        <f t="shared" si="17"/>
        <v>141097.5</v>
      </c>
      <c r="J133" t="str">
        <f t="shared" si="18"/>
        <v>NORMAL</v>
      </c>
      <c r="K133" t="str">
        <f t="shared" si="13"/>
        <v>Aucune action</v>
      </c>
    </row>
    <row r="134" spans="1:11" x14ac:dyDescent="0.35">
      <c r="A134">
        <f>RAW_ACDOCA!A134</f>
        <v>100058</v>
      </c>
      <c r="B134">
        <f>ROW()</f>
        <v>134</v>
      </c>
      <c r="C134">
        <f>RAW_ACDOCA!D134</f>
        <v>614100</v>
      </c>
      <c r="D134">
        <f>RAW_ACDOCA!I134</f>
        <v>7900</v>
      </c>
      <c r="E134" t="str">
        <f>RAW_ACDOCA!J134</f>
        <v>MAD</v>
      </c>
      <c r="F134">
        <f t="shared" si="14"/>
        <v>7025</v>
      </c>
      <c r="G134">
        <f t="shared" si="15"/>
        <v>60654</v>
      </c>
      <c r="H134">
        <f t="shared" si="16"/>
        <v>53629</v>
      </c>
      <c r="I134">
        <f t="shared" si="17"/>
        <v>141097.5</v>
      </c>
      <c r="J134" t="str">
        <f t="shared" si="18"/>
        <v>NORMAL</v>
      </c>
      <c r="K134" t="str">
        <f t="shared" si="13"/>
        <v>Aucune action</v>
      </c>
    </row>
    <row r="135" spans="1:11" x14ac:dyDescent="0.35">
      <c r="A135">
        <f>RAW_ACDOCA!A135</f>
        <v>100059</v>
      </c>
      <c r="B135">
        <f>ROW()</f>
        <v>135</v>
      </c>
      <c r="C135">
        <f>RAW_ACDOCA!D135</f>
        <v>514100</v>
      </c>
      <c r="D135">
        <f>RAW_ACDOCA!I135</f>
        <v>5500</v>
      </c>
      <c r="E135" t="str">
        <f>RAW_ACDOCA!J135</f>
        <v>MAD</v>
      </c>
      <c r="F135">
        <f t="shared" si="14"/>
        <v>7025</v>
      </c>
      <c r="G135">
        <f t="shared" si="15"/>
        <v>60654</v>
      </c>
      <c r="H135">
        <f t="shared" si="16"/>
        <v>53629</v>
      </c>
      <c r="I135">
        <f t="shared" si="17"/>
        <v>141097.5</v>
      </c>
      <c r="J135" t="str">
        <f t="shared" si="18"/>
        <v>NORMAL</v>
      </c>
      <c r="K135" t="str">
        <f t="shared" si="13"/>
        <v>Aucune action</v>
      </c>
    </row>
    <row r="136" spans="1:11" x14ac:dyDescent="0.35">
      <c r="A136">
        <f>RAW_ACDOCA!A136</f>
        <v>100059</v>
      </c>
      <c r="B136">
        <f>ROW()</f>
        <v>136</v>
      </c>
      <c r="C136">
        <f>RAW_ACDOCA!D136</f>
        <v>618100</v>
      </c>
      <c r="D136">
        <f>RAW_ACDOCA!I136</f>
        <v>5500</v>
      </c>
      <c r="E136" t="str">
        <f>RAW_ACDOCA!J136</f>
        <v>MAD</v>
      </c>
      <c r="F136">
        <f t="shared" si="14"/>
        <v>7025</v>
      </c>
      <c r="G136">
        <f t="shared" si="15"/>
        <v>60654</v>
      </c>
      <c r="H136">
        <f t="shared" si="16"/>
        <v>53629</v>
      </c>
      <c r="I136">
        <f t="shared" si="17"/>
        <v>141097.5</v>
      </c>
      <c r="J136" t="str">
        <f t="shared" si="18"/>
        <v>NORMAL</v>
      </c>
      <c r="K136" t="str">
        <f t="shared" si="13"/>
        <v>Aucune action</v>
      </c>
    </row>
    <row r="137" spans="1:11" x14ac:dyDescent="0.35">
      <c r="A137">
        <f>RAW_ACDOCA!A137</f>
        <v>100060</v>
      </c>
      <c r="B137">
        <f>ROW()</f>
        <v>137</v>
      </c>
      <c r="C137">
        <f>RAW_ACDOCA!D137</f>
        <v>311100</v>
      </c>
      <c r="D137">
        <f>RAW_ACDOCA!I137</f>
        <v>8000</v>
      </c>
      <c r="E137" t="str">
        <f>RAW_ACDOCA!J137</f>
        <v>MAD</v>
      </c>
      <c r="F137">
        <f t="shared" si="14"/>
        <v>7025</v>
      </c>
      <c r="G137">
        <f t="shared" si="15"/>
        <v>60654</v>
      </c>
      <c r="H137">
        <f t="shared" si="16"/>
        <v>53629</v>
      </c>
      <c r="I137">
        <f t="shared" si="17"/>
        <v>141097.5</v>
      </c>
      <c r="J137" t="str">
        <f t="shared" si="18"/>
        <v>NORMAL</v>
      </c>
      <c r="K137" t="str">
        <f t="shared" si="13"/>
        <v>Aucune action</v>
      </c>
    </row>
    <row r="138" spans="1:11" x14ac:dyDescent="0.35">
      <c r="A138">
        <f>RAW_ACDOCA!A138</f>
        <v>100060</v>
      </c>
      <c r="B138">
        <f>ROW()</f>
        <v>138</v>
      </c>
      <c r="C138">
        <f>RAW_ACDOCA!D138</f>
        <v>611100</v>
      </c>
      <c r="D138">
        <f>RAW_ACDOCA!I138</f>
        <v>8000</v>
      </c>
      <c r="E138" t="str">
        <f>RAW_ACDOCA!J138</f>
        <v>MAD</v>
      </c>
      <c r="F138">
        <f t="shared" si="14"/>
        <v>7025</v>
      </c>
      <c r="G138">
        <f t="shared" si="15"/>
        <v>60654</v>
      </c>
      <c r="H138">
        <f t="shared" si="16"/>
        <v>53629</v>
      </c>
      <c r="I138">
        <f t="shared" si="17"/>
        <v>141097.5</v>
      </c>
      <c r="J138" t="str">
        <f t="shared" si="18"/>
        <v>NORMAL</v>
      </c>
      <c r="K138" t="str">
        <f t="shared" si="13"/>
        <v>Aucune action</v>
      </c>
    </row>
    <row r="139" spans="1:11" x14ac:dyDescent="0.35">
      <c r="A139">
        <f>RAW_ACDOCA!A139</f>
        <v>100061</v>
      </c>
      <c r="B139">
        <f>ROW()</f>
        <v>139</v>
      </c>
      <c r="C139">
        <f>RAW_ACDOCA!D139</f>
        <v>514100</v>
      </c>
      <c r="D139">
        <f>RAW_ACDOCA!I139</f>
        <v>7000</v>
      </c>
      <c r="E139" t="str">
        <f>RAW_ACDOCA!J139</f>
        <v>MAD</v>
      </c>
      <c r="F139">
        <f t="shared" si="14"/>
        <v>7025</v>
      </c>
      <c r="G139">
        <f t="shared" si="15"/>
        <v>60654</v>
      </c>
      <c r="H139">
        <f t="shared" si="16"/>
        <v>53629</v>
      </c>
      <c r="I139">
        <f t="shared" si="17"/>
        <v>141097.5</v>
      </c>
      <c r="J139" t="str">
        <f t="shared" si="18"/>
        <v>NORMAL</v>
      </c>
      <c r="K139" t="str">
        <f t="shared" si="13"/>
        <v>Aucune action</v>
      </c>
    </row>
    <row r="140" spans="1:11" x14ac:dyDescent="0.35">
      <c r="A140">
        <f>RAW_ACDOCA!A140</f>
        <v>100061</v>
      </c>
      <c r="B140">
        <f>ROW()</f>
        <v>140</v>
      </c>
      <c r="C140">
        <f>RAW_ACDOCA!D140</f>
        <v>619100</v>
      </c>
      <c r="D140">
        <f>RAW_ACDOCA!I140</f>
        <v>7000</v>
      </c>
      <c r="E140" t="str">
        <f>RAW_ACDOCA!J140</f>
        <v>MAD</v>
      </c>
      <c r="F140">
        <f t="shared" si="14"/>
        <v>7025</v>
      </c>
      <c r="G140">
        <f t="shared" si="15"/>
        <v>60654</v>
      </c>
      <c r="H140">
        <f t="shared" si="16"/>
        <v>53629</v>
      </c>
      <c r="I140">
        <f t="shared" si="17"/>
        <v>141097.5</v>
      </c>
      <c r="J140" t="str">
        <f t="shared" si="18"/>
        <v>NORMAL</v>
      </c>
      <c r="K140" t="str">
        <f t="shared" si="13"/>
        <v>Aucune action</v>
      </c>
    </row>
    <row r="141" spans="1:11" x14ac:dyDescent="0.35">
      <c r="A141">
        <f>RAW_ACDOCA!A141</f>
        <v>100062</v>
      </c>
      <c r="B141">
        <f>ROW()</f>
        <v>141</v>
      </c>
      <c r="C141">
        <f>RAW_ACDOCA!D141</f>
        <v>345500</v>
      </c>
      <c r="D141">
        <f>RAW_ACDOCA!I141</f>
        <v>15800</v>
      </c>
      <c r="E141" t="str">
        <f>RAW_ACDOCA!J141</f>
        <v>MAD</v>
      </c>
      <c r="F141">
        <f t="shared" si="14"/>
        <v>7025</v>
      </c>
      <c r="G141">
        <f t="shared" si="15"/>
        <v>60654</v>
      </c>
      <c r="H141">
        <f t="shared" si="16"/>
        <v>53629</v>
      </c>
      <c r="I141">
        <f t="shared" si="17"/>
        <v>141097.5</v>
      </c>
      <c r="J141" t="str">
        <f t="shared" si="18"/>
        <v>NORMAL</v>
      </c>
      <c r="K141" t="str">
        <f t="shared" si="13"/>
        <v>Aucune action</v>
      </c>
    </row>
    <row r="142" spans="1:11" x14ac:dyDescent="0.35">
      <c r="A142">
        <f>RAW_ACDOCA!A142</f>
        <v>100062</v>
      </c>
      <c r="B142">
        <f>ROW()</f>
        <v>142</v>
      </c>
      <c r="C142">
        <f>RAW_ACDOCA!D142</f>
        <v>441100</v>
      </c>
      <c r="D142">
        <f>RAW_ACDOCA!I142</f>
        <v>94800</v>
      </c>
      <c r="E142" t="str">
        <f>RAW_ACDOCA!J142</f>
        <v>MAD</v>
      </c>
      <c r="F142">
        <f t="shared" si="14"/>
        <v>7025</v>
      </c>
      <c r="G142">
        <f t="shared" si="15"/>
        <v>60654</v>
      </c>
      <c r="H142">
        <f t="shared" si="16"/>
        <v>53629</v>
      </c>
      <c r="I142">
        <f t="shared" si="17"/>
        <v>141097.5</v>
      </c>
      <c r="J142" t="str">
        <f t="shared" si="18"/>
        <v>NORMAL</v>
      </c>
      <c r="K142" t="str">
        <f t="shared" si="13"/>
        <v>Aucune action</v>
      </c>
    </row>
    <row r="143" spans="1:11" x14ac:dyDescent="0.35">
      <c r="A143">
        <f>RAW_ACDOCA!A143</f>
        <v>100062</v>
      </c>
      <c r="B143">
        <f>ROW()</f>
        <v>143</v>
      </c>
      <c r="C143">
        <f>RAW_ACDOCA!D143</f>
        <v>611100</v>
      </c>
      <c r="D143">
        <f>RAW_ACDOCA!I143</f>
        <v>79000</v>
      </c>
      <c r="E143" t="str">
        <f>RAW_ACDOCA!J143</f>
        <v>MAD</v>
      </c>
      <c r="F143">
        <f t="shared" si="14"/>
        <v>7025</v>
      </c>
      <c r="G143">
        <f t="shared" si="15"/>
        <v>60654</v>
      </c>
      <c r="H143">
        <f t="shared" si="16"/>
        <v>53629</v>
      </c>
      <c r="I143">
        <f t="shared" si="17"/>
        <v>141097.5</v>
      </c>
      <c r="J143" t="str">
        <f t="shared" si="18"/>
        <v>NORMAL</v>
      </c>
      <c r="K143" t="str">
        <f>IF(J143="OUTLIER","Exception - À analyser","Aucune action")</f>
        <v>Aucune action</v>
      </c>
    </row>
    <row r="144" spans="1:11" x14ac:dyDescent="0.35">
      <c r="A144">
        <f>RAW_ACDOCA!A144</f>
        <v>100063</v>
      </c>
      <c r="B144">
        <f>ROW()</f>
        <v>144</v>
      </c>
      <c r="C144">
        <f>RAW_ACDOCA!D144</f>
        <v>345500</v>
      </c>
      <c r="D144">
        <f>RAW_ACDOCA!I144</f>
        <v>9356.7999999999993</v>
      </c>
      <c r="E144" t="str">
        <f>RAW_ACDOCA!J144</f>
        <v>MAD</v>
      </c>
      <c r="F144">
        <f t="shared" si="14"/>
        <v>7025</v>
      </c>
      <c r="G144">
        <f t="shared" si="15"/>
        <v>60654</v>
      </c>
      <c r="H144">
        <f t="shared" si="16"/>
        <v>53629</v>
      </c>
      <c r="I144">
        <f t="shared" si="17"/>
        <v>141097.5</v>
      </c>
      <c r="J144" t="str">
        <f t="shared" si="18"/>
        <v>NORMAL</v>
      </c>
      <c r="K144" t="str">
        <f t="shared" ref="K144:K180" si="19">IF(J144="OUTLIER","Exception - À analyser","Aucune action")</f>
        <v>Aucune action</v>
      </c>
    </row>
    <row r="145" spans="1:11" x14ac:dyDescent="0.35">
      <c r="A145">
        <f>RAW_ACDOCA!A145</f>
        <v>100063</v>
      </c>
      <c r="B145">
        <f>ROW()</f>
        <v>145</v>
      </c>
      <c r="C145">
        <f>RAW_ACDOCA!D145</f>
        <v>441100</v>
      </c>
      <c r="D145">
        <f>RAW_ACDOCA!I145</f>
        <v>56140.800000000003</v>
      </c>
      <c r="E145" t="str">
        <f>RAW_ACDOCA!J145</f>
        <v>MAD</v>
      </c>
      <c r="F145">
        <f t="shared" si="14"/>
        <v>7025</v>
      </c>
      <c r="G145">
        <f t="shared" si="15"/>
        <v>60654</v>
      </c>
      <c r="H145">
        <f t="shared" si="16"/>
        <v>53629</v>
      </c>
      <c r="I145">
        <f t="shared" si="17"/>
        <v>141097.5</v>
      </c>
      <c r="J145" t="str">
        <f t="shared" si="18"/>
        <v>NORMAL</v>
      </c>
      <c r="K145" t="str">
        <f t="shared" si="19"/>
        <v>Aucune action</v>
      </c>
    </row>
    <row r="146" spans="1:11" x14ac:dyDescent="0.35">
      <c r="A146">
        <f>RAW_ACDOCA!A146</f>
        <v>100063</v>
      </c>
      <c r="B146">
        <f>ROW()</f>
        <v>146</v>
      </c>
      <c r="C146">
        <f>RAW_ACDOCA!D146</f>
        <v>611100</v>
      </c>
      <c r="D146">
        <f>RAW_ACDOCA!I146</f>
        <v>46784</v>
      </c>
      <c r="E146" t="str">
        <f>RAW_ACDOCA!J146</f>
        <v>MAD</v>
      </c>
      <c r="F146">
        <f t="shared" si="14"/>
        <v>7025</v>
      </c>
      <c r="G146">
        <f t="shared" si="15"/>
        <v>60654</v>
      </c>
      <c r="H146">
        <f t="shared" si="16"/>
        <v>53629</v>
      </c>
      <c r="I146">
        <f t="shared" si="17"/>
        <v>141097.5</v>
      </c>
      <c r="J146" t="str">
        <f t="shared" si="18"/>
        <v>NORMAL</v>
      </c>
      <c r="K146" t="str">
        <f t="shared" si="19"/>
        <v>Aucune action</v>
      </c>
    </row>
    <row r="147" spans="1:11" x14ac:dyDescent="0.35">
      <c r="A147">
        <f>RAW_ACDOCA!A147</f>
        <v>100064</v>
      </c>
      <c r="B147">
        <f>ROW()</f>
        <v>147</v>
      </c>
      <c r="C147">
        <f>RAW_ACDOCA!D147</f>
        <v>342100</v>
      </c>
      <c r="D147">
        <f>RAW_ACDOCA!I147</f>
        <v>150000</v>
      </c>
      <c r="E147" t="str">
        <f>RAW_ACDOCA!J147</f>
        <v>MAD</v>
      </c>
      <c r="F147">
        <f t="shared" si="14"/>
        <v>7025</v>
      </c>
      <c r="G147">
        <f t="shared" si="15"/>
        <v>60654</v>
      </c>
      <c r="H147">
        <f t="shared" si="16"/>
        <v>53629</v>
      </c>
      <c r="I147">
        <f t="shared" si="17"/>
        <v>141097.5</v>
      </c>
      <c r="J147" t="str">
        <f t="shared" si="18"/>
        <v>NORMAL</v>
      </c>
      <c r="K147" t="str">
        <f t="shared" si="19"/>
        <v>Aucune action</v>
      </c>
    </row>
    <row r="148" spans="1:11" x14ac:dyDescent="0.35">
      <c r="A148">
        <f>RAW_ACDOCA!A148</f>
        <v>100064</v>
      </c>
      <c r="B148">
        <f>ROW()</f>
        <v>148</v>
      </c>
      <c r="C148">
        <f>RAW_ACDOCA!D148</f>
        <v>445500</v>
      </c>
      <c r="D148">
        <f>RAW_ACDOCA!I148</f>
        <v>25000</v>
      </c>
      <c r="E148" t="str">
        <f>RAW_ACDOCA!J148</f>
        <v>MAD</v>
      </c>
      <c r="F148">
        <f t="shared" si="14"/>
        <v>7025</v>
      </c>
      <c r="G148">
        <f t="shared" si="15"/>
        <v>60654</v>
      </c>
      <c r="H148">
        <f t="shared" si="16"/>
        <v>53629</v>
      </c>
      <c r="I148">
        <f t="shared" si="17"/>
        <v>141097.5</v>
      </c>
      <c r="J148" t="str">
        <f t="shared" si="18"/>
        <v>NORMAL</v>
      </c>
      <c r="K148" t="str">
        <f t="shared" si="19"/>
        <v>Aucune action</v>
      </c>
    </row>
    <row r="149" spans="1:11" x14ac:dyDescent="0.35">
      <c r="A149">
        <f>RAW_ACDOCA!A149</f>
        <v>100064</v>
      </c>
      <c r="B149">
        <f>ROW()</f>
        <v>149</v>
      </c>
      <c r="C149">
        <f>RAW_ACDOCA!D149</f>
        <v>711100</v>
      </c>
      <c r="D149">
        <f>RAW_ACDOCA!I149</f>
        <v>125000</v>
      </c>
      <c r="E149" t="str">
        <f>RAW_ACDOCA!J149</f>
        <v>MAD</v>
      </c>
      <c r="F149">
        <f t="shared" si="14"/>
        <v>7025</v>
      </c>
      <c r="G149">
        <f t="shared" si="15"/>
        <v>60654</v>
      </c>
      <c r="H149">
        <f t="shared" si="16"/>
        <v>53629</v>
      </c>
      <c r="I149">
        <f t="shared" si="17"/>
        <v>141097.5</v>
      </c>
      <c r="J149" t="str">
        <f t="shared" si="18"/>
        <v>NORMAL</v>
      </c>
      <c r="K149" t="str">
        <f t="shared" si="19"/>
        <v>Aucune action</v>
      </c>
    </row>
    <row r="150" spans="1:11" x14ac:dyDescent="0.35">
      <c r="A150">
        <f>RAW_ACDOCA!A150</f>
        <v>100065</v>
      </c>
      <c r="B150">
        <f>ROW()</f>
        <v>150</v>
      </c>
      <c r="C150">
        <f>RAW_ACDOCA!D150</f>
        <v>342100</v>
      </c>
      <c r="D150">
        <f>RAW_ACDOCA!I150</f>
        <v>61256</v>
      </c>
      <c r="E150" t="str">
        <f>RAW_ACDOCA!J150</f>
        <v>MAD</v>
      </c>
      <c r="F150">
        <f t="shared" si="14"/>
        <v>7025</v>
      </c>
      <c r="G150">
        <f t="shared" si="15"/>
        <v>60654</v>
      </c>
      <c r="H150">
        <f t="shared" si="16"/>
        <v>53629</v>
      </c>
      <c r="I150">
        <f t="shared" si="17"/>
        <v>141097.5</v>
      </c>
      <c r="J150" t="str">
        <f t="shared" si="18"/>
        <v>NORMAL</v>
      </c>
      <c r="K150" t="str">
        <f t="shared" si="19"/>
        <v>Aucune action</v>
      </c>
    </row>
    <row r="151" spans="1:11" x14ac:dyDescent="0.35">
      <c r="A151">
        <f>RAW_ACDOCA!A151</f>
        <v>100065</v>
      </c>
      <c r="B151">
        <f>ROW()</f>
        <v>151</v>
      </c>
      <c r="C151">
        <f>RAW_ACDOCA!D151</f>
        <v>712100</v>
      </c>
      <c r="D151">
        <f>RAW_ACDOCA!I151</f>
        <v>61256</v>
      </c>
      <c r="E151" t="str">
        <f>RAW_ACDOCA!J151</f>
        <v>MAD</v>
      </c>
      <c r="F151">
        <f t="shared" si="14"/>
        <v>7025</v>
      </c>
      <c r="G151">
        <f t="shared" si="15"/>
        <v>60654</v>
      </c>
      <c r="H151">
        <f t="shared" si="16"/>
        <v>53629</v>
      </c>
      <c r="I151">
        <f t="shared" si="17"/>
        <v>141097.5</v>
      </c>
      <c r="J151" t="str">
        <f t="shared" si="18"/>
        <v>NORMAL</v>
      </c>
      <c r="K151" t="str">
        <f t="shared" si="19"/>
        <v>Aucune action</v>
      </c>
    </row>
    <row r="152" spans="1:11" x14ac:dyDescent="0.35">
      <c r="A152">
        <f>RAW_ACDOCA!A152</f>
        <v>100066</v>
      </c>
      <c r="B152">
        <f>ROW()</f>
        <v>152</v>
      </c>
      <c r="C152">
        <f>RAW_ACDOCA!D152</f>
        <v>342100</v>
      </c>
      <c r="D152">
        <f>RAW_ACDOCA!I152</f>
        <v>110000</v>
      </c>
      <c r="E152" t="str">
        <f>RAW_ACDOCA!J152</f>
        <v>MAD</v>
      </c>
      <c r="F152">
        <f t="shared" si="14"/>
        <v>7025</v>
      </c>
      <c r="G152">
        <f t="shared" si="15"/>
        <v>60654</v>
      </c>
      <c r="H152">
        <f t="shared" si="16"/>
        <v>53629</v>
      </c>
      <c r="I152">
        <f t="shared" si="17"/>
        <v>141097.5</v>
      </c>
      <c r="J152" t="str">
        <f t="shared" si="18"/>
        <v>NORMAL</v>
      </c>
      <c r="K152" t="str">
        <f t="shared" si="19"/>
        <v>Aucune action</v>
      </c>
    </row>
    <row r="153" spans="1:11" x14ac:dyDescent="0.35">
      <c r="A153">
        <f>RAW_ACDOCA!A153</f>
        <v>100066</v>
      </c>
      <c r="B153">
        <f>ROW()</f>
        <v>153</v>
      </c>
      <c r="C153">
        <f>RAW_ACDOCA!D153</f>
        <v>514100</v>
      </c>
      <c r="D153">
        <f>RAW_ACDOCA!I153</f>
        <v>110000</v>
      </c>
      <c r="E153" t="str">
        <f>RAW_ACDOCA!J153</f>
        <v>MAD</v>
      </c>
      <c r="F153">
        <f t="shared" si="14"/>
        <v>7025</v>
      </c>
      <c r="G153">
        <f t="shared" si="15"/>
        <v>60654</v>
      </c>
      <c r="H153">
        <f t="shared" si="16"/>
        <v>53629</v>
      </c>
      <c r="I153">
        <f t="shared" si="17"/>
        <v>141097.5</v>
      </c>
      <c r="J153" t="str">
        <f t="shared" si="18"/>
        <v>NORMAL</v>
      </c>
      <c r="K153" t="str">
        <f t="shared" si="19"/>
        <v>Aucune action</v>
      </c>
    </row>
    <row r="154" spans="1:11" x14ac:dyDescent="0.35">
      <c r="A154">
        <f>RAW_ACDOCA!A154</f>
        <v>100067</v>
      </c>
      <c r="B154">
        <f>ROW()</f>
        <v>154</v>
      </c>
      <c r="C154">
        <f>RAW_ACDOCA!D154</f>
        <v>441100</v>
      </c>
      <c r="D154">
        <f>RAW_ACDOCA!I154</f>
        <v>67000</v>
      </c>
      <c r="E154" t="str">
        <f>RAW_ACDOCA!J154</f>
        <v>MAD</v>
      </c>
      <c r="F154">
        <f t="shared" si="14"/>
        <v>7025</v>
      </c>
      <c r="G154">
        <f t="shared" si="15"/>
        <v>60654</v>
      </c>
      <c r="H154">
        <f t="shared" si="16"/>
        <v>53629</v>
      </c>
      <c r="I154">
        <f t="shared" si="17"/>
        <v>141097.5</v>
      </c>
      <c r="J154" t="str">
        <f t="shared" si="18"/>
        <v>NORMAL</v>
      </c>
      <c r="K154" t="str">
        <f t="shared" si="19"/>
        <v>Aucune action</v>
      </c>
    </row>
    <row r="155" spans="1:11" x14ac:dyDescent="0.35">
      <c r="A155">
        <f>RAW_ACDOCA!A155</f>
        <v>100067</v>
      </c>
      <c r="B155">
        <f>ROW()</f>
        <v>155</v>
      </c>
      <c r="C155">
        <f>RAW_ACDOCA!D155</f>
        <v>514100</v>
      </c>
      <c r="D155">
        <f>RAW_ACDOCA!I155</f>
        <v>67000</v>
      </c>
      <c r="E155" t="str">
        <f>RAW_ACDOCA!J155</f>
        <v>MAD</v>
      </c>
      <c r="F155">
        <f t="shared" si="14"/>
        <v>7025</v>
      </c>
      <c r="G155">
        <f t="shared" si="15"/>
        <v>60654</v>
      </c>
      <c r="H155">
        <f t="shared" si="16"/>
        <v>53629</v>
      </c>
      <c r="I155">
        <f t="shared" si="17"/>
        <v>141097.5</v>
      </c>
      <c r="J155" t="str">
        <f t="shared" si="18"/>
        <v>NORMAL</v>
      </c>
      <c r="K155" t="str">
        <f t="shared" si="19"/>
        <v>Aucune action</v>
      </c>
    </row>
    <row r="156" spans="1:11" x14ac:dyDescent="0.35">
      <c r="A156">
        <f>RAW_ACDOCA!A156</f>
        <v>100068</v>
      </c>
      <c r="B156">
        <f>ROW()</f>
        <v>156</v>
      </c>
      <c r="C156">
        <f>RAW_ACDOCA!D156</f>
        <v>514100</v>
      </c>
      <c r="D156">
        <f>RAW_ACDOCA!I156</f>
        <v>39500</v>
      </c>
      <c r="E156" t="str">
        <f>RAW_ACDOCA!J156</f>
        <v>MAD</v>
      </c>
      <c r="F156">
        <f t="shared" si="14"/>
        <v>7025</v>
      </c>
      <c r="G156">
        <f t="shared" si="15"/>
        <v>60654</v>
      </c>
      <c r="H156">
        <f t="shared" si="16"/>
        <v>53629</v>
      </c>
      <c r="I156">
        <f t="shared" si="17"/>
        <v>141097.5</v>
      </c>
      <c r="J156" t="str">
        <f t="shared" si="18"/>
        <v>NORMAL</v>
      </c>
      <c r="K156" t="str">
        <f t="shared" si="19"/>
        <v>Aucune action</v>
      </c>
    </row>
    <row r="157" spans="1:11" x14ac:dyDescent="0.35">
      <c r="A157">
        <f>RAW_ACDOCA!A157</f>
        <v>100068</v>
      </c>
      <c r="B157">
        <f>ROW()</f>
        <v>157</v>
      </c>
      <c r="C157">
        <f>RAW_ACDOCA!D157</f>
        <v>617100</v>
      </c>
      <c r="D157">
        <f>RAW_ACDOCA!I157</f>
        <v>39500</v>
      </c>
      <c r="E157" t="str">
        <f>RAW_ACDOCA!J157</f>
        <v>MAD</v>
      </c>
      <c r="F157">
        <f t="shared" si="14"/>
        <v>7025</v>
      </c>
      <c r="G157">
        <f t="shared" si="15"/>
        <v>60654</v>
      </c>
      <c r="H157">
        <f t="shared" si="16"/>
        <v>53629</v>
      </c>
      <c r="I157">
        <f t="shared" si="17"/>
        <v>141097.5</v>
      </c>
      <c r="J157" t="str">
        <f t="shared" si="18"/>
        <v>NORMAL</v>
      </c>
      <c r="K157" t="str">
        <f t="shared" si="19"/>
        <v>Aucune action</v>
      </c>
    </row>
    <row r="158" spans="1:11" x14ac:dyDescent="0.35">
      <c r="A158">
        <f>RAW_ACDOCA!A158</f>
        <v>100069</v>
      </c>
      <c r="B158">
        <f>ROW()</f>
        <v>158</v>
      </c>
      <c r="C158">
        <f>RAW_ACDOCA!D158</f>
        <v>514100</v>
      </c>
      <c r="D158">
        <f>RAW_ACDOCA!I158</f>
        <v>10000</v>
      </c>
      <c r="E158" t="str">
        <f>RAW_ACDOCA!J158</f>
        <v>MAD</v>
      </c>
      <c r="F158">
        <f t="shared" si="14"/>
        <v>7025</v>
      </c>
      <c r="G158">
        <f t="shared" si="15"/>
        <v>60654</v>
      </c>
      <c r="H158">
        <f t="shared" si="16"/>
        <v>53629</v>
      </c>
      <c r="I158">
        <f t="shared" si="17"/>
        <v>141097.5</v>
      </c>
      <c r="J158" t="str">
        <f t="shared" si="18"/>
        <v>NORMAL</v>
      </c>
      <c r="K158" t="str">
        <f t="shared" si="19"/>
        <v>Aucune action</v>
      </c>
    </row>
    <row r="159" spans="1:11" x14ac:dyDescent="0.35">
      <c r="A159">
        <f>RAW_ACDOCA!A159</f>
        <v>100069</v>
      </c>
      <c r="B159">
        <f>ROW()</f>
        <v>159</v>
      </c>
      <c r="C159">
        <f>RAW_ACDOCA!D159</f>
        <v>613100</v>
      </c>
      <c r="D159">
        <f>RAW_ACDOCA!I159</f>
        <v>10000</v>
      </c>
      <c r="E159" t="str">
        <f>RAW_ACDOCA!J159</f>
        <v>MAD</v>
      </c>
      <c r="F159">
        <f t="shared" si="14"/>
        <v>7025</v>
      </c>
      <c r="G159">
        <f t="shared" si="15"/>
        <v>60654</v>
      </c>
      <c r="H159">
        <f t="shared" si="16"/>
        <v>53629</v>
      </c>
      <c r="I159">
        <f t="shared" si="17"/>
        <v>141097.5</v>
      </c>
      <c r="J159" t="str">
        <f t="shared" si="18"/>
        <v>NORMAL</v>
      </c>
      <c r="K159" t="str">
        <f t="shared" si="19"/>
        <v>Aucune action</v>
      </c>
    </row>
    <row r="160" spans="1:11" x14ac:dyDescent="0.35">
      <c r="A160">
        <f>RAW_ACDOCA!A160</f>
        <v>100070</v>
      </c>
      <c r="B160">
        <f>ROW()</f>
        <v>160</v>
      </c>
      <c r="C160">
        <f>RAW_ACDOCA!D160</f>
        <v>514100</v>
      </c>
      <c r="D160">
        <f>RAW_ACDOCA!I160</f>
        <v>8200</v>
      </c>
      <c r="E160" t="str">
        <f>RAW_ACDOCA!J160</f>
        <v>MAD</v>
      </c>
      <c r="F160">
        <f t="shared" si="14"/>
        <v>7025</v>
      </c>
      <c r="G160">
        <f t="shared" si="15"/>
        <v>60654</v>
      </c>
      <c r="H160">
        <f t="shared" si="16"/>
        <v>53629</v>
      </c>
      <c r="I160">
        <f t="shared" si="17"/>
        <v>141097.5</v>
      </c>
      <c r="J160" t="str">
        <f t="shared" si="18"/>
        <v>NORMAL</v>
      </c>
      <c r="K160" t="str">
        <f t="shared" si="19"/>
        <v>Aucune action</v>
      </c>
    </row>
    <row r="161" spans="1:11" x14ac:dyDescent="0.35">
      <c r="A161">
        <f>RAW_ACDOCA!A161</f>
        <v>100070</v>
      </c>
      <c r="B161">
        <f>ROW()</f>
        <v>161</v>
      </c>
      <c r="C161">
        <f>RAW_ACDOCA!D161</f>
        <v>614100</v>
      </c>
      <c r="D161">
        <f>RAW_ACDOCA!I161</f>
        <v>8200</v>
      </c>
      <c r="E161" t="str">
        <f>RAW_ACDOCA!J161</f>
        <v>MAD</v>
      </c>
      <c r="F161">
        <f t="shared" si="14"/>
        <v>7025</v>
      </c>
      <c r="G161">
        <f t="shared" si="15"/>
        <v>60654</v>
      </c>
      <c r="H161">
        <f t="shared" si="16"/>
        <v>53629</v>
      </c>
      <c r="I161">
        <f t="shared" si="17"/>
        <v>141097.5</v>
      </c>
      <c r="J161" t="str">
        <f t="shared" si="18"/>
        <v>NORMAL</v>
      </c>
      <c r="K161" t="str">
        <f t="shared" si="19"/>
        <v>Aucune action</v>
      </c>
    </row>
    <row r="162" spans="1:11" x14ac:dyDescent="0.35">
      <c r="A162">
        <f>RAW_ACDOCA!A162</f>
        <v>100071</v>
      </c>
      <c r="B162">
        <f>ROW()</f>
        <v>162</v>
      </c>
      <c r="C162">
        <f>RAW_ACDOCA!D162</f>
        <v>514100</v>
      </c>
      <c r="D162">
        <f>RAW_ACDOCA!I162</f>
        <v>6500</v>
      </c>
      <c r="E162" t="str">
        <f>RAW_ACDOCA!J162</f>
        <v>MAD</v>
      </c>
      <c r="F162">
        <f t="shared" si="14"/>
        <v>7025</v>
      </c>
      <c r="G162">
        <f t="shared" si="15"/>
        <v>60654</v>
      </c>
      <c r="H162">
        <f t="shared" si="16"/>
        <v>53629</v>
      </c>
      <c r="I162">
        <f t="shared" si="17"/>
        <v>141097.5</v>
      </c>
      <c r="J162" t="str">
        <f t="shared" si="18"/>
        <v>NORMAL</v>
      </c>
      <c r="K162" t="str">
        <f t="shared" si="19"/>
        <v>Aucune action</v>
      </c>
    </row>
    <row r="163" spans="1:11" x14ac:dyDescent="0.35">
      <c r="A163">
        <f>RAW_ACDOCA!A163</f>
        <v>100071</v>
      </c>
      <c r="B163">
        <f>ROW()</f>
        <v>163</v>
      </c>
      <c r="C163">
        <f>RAW_ACDOCA!D163</f>
        <v>618100</v>
      </c>
      <c r="D163">
        <f>RAW_ACDOCA!I163</f>
        <v>6500</v>
      </c>
      <c r="E163" t="str">
        <f>RAW_ACDOCA!J163</f>
        <v>MAD</v>
      </c>
      <c r="F163">
        <f t="shared" si="14"/>
        <v>7025</v>
      </c>
      <c r="G163">
        <f t="shared" si="15"/>
        <v>60654</v>
      </c>
      <c r="H163">
        <f t="shared" si="16"/>
        <v>53629</v>
      </c>
      <c r="I163">
        <f t="shared" si="17"/>
        <v>141097.5</v>
      </c>
      <c r="J163" t="str">
        <f t="shared" si="18"/>
        <v>NORMAL</v>
      </c>
      <c r="K163" t="str">
        <f t="shared" si="19"/>
        <v>Aucune action</v>
      </c>
    </row>
    <row r="164" spans="1:11" x14ac:dyDescent="0.35">
      <c r="A164">
        <f>RAW_ACDOCA!A164</f>
        <v>100072</v>
      </c>
      <c r="B164">
        <f>ROW()</f>
        <v>164</v>
      </c>
      <c r="C164">
        <f>RAW_ACDOCA!D164</f>
        <v>311100</v>
      </c>
      <c r="D164">
        <f>RAW_ACDOCA!I164</f>
        <v>15000</v>
      </c>
      <c r="E164" t="str">
        <f>RAW_ACDOCA!J164</f>
        <v>MAD</v>
      </c>
      <c r="F164">
        <f t="shared" si="14"/>
        <v>7025</v>
      </c>
      <c r="G164">
        <f t="shared" si="15"/>
        <v>60654</v>
      </c>
      <c r="H164">
        <f t="shared" si="16"/>
        <v>53629</v>
      </c>
      <c r="I164">
        <f t="shared" si="17"/>
        <v>141097.5</v>
      </c>
      <c r="J164" t="str">
        <f t="shared" si="18"/>
        <v>NORMAL</v>
      </c>
      <c r="K164" t="str">
        <f t="shared" si="19"/>
        <v>Aucune action</v>
      </c>
    </row>
    <row r="165" spans="1:11" x14ac:dyDescent="0.35">
      <c r="A165">
        <f>RAW_ACDOCA!A165</f>
        <v>100072</v>
      </c>
      <c r="B165">
        <f>ROW()</f>
        <v>165</v>
      </c>
      <c r="C165">
        <f>RAW_ACDOCA!D165</f>
        <v>611100</v>
      </c>
      <c r="D165">
        <f>RAW_ACDOCA!I165</f>
        <v>15000</v>
      </c>
      <c r="E165" t="str">
        <f>RAW_ACDOCA!J165</f>
        <v>MAD</v>
      </c>
      <c r="F165">
        <f t="shared" si="14"/>
        <v>7025</v>
      </c>
      <c r="G165">
        <f t="shared" si="15"/>
        <v>60654</v>
      </c>
      <c r="H165">
        <f t="shared" si="16"/>
        <v>53629</v>
      </c>
      <c r="I165">
        <f t="shared" si="17"/>
        <v>141097.5</v>
      </c>
      <c r="J165" t="str">
        <f t="shared" si="18"/>
        <v>NORMAL</v>
      </c>
      <c r="K165" t="str">
        <f t="shared" si="19"/>
        <v>Aucune action</v>
      </c>
    </row>
    <row r="166" spans="1:11" x14ac:dyDescent="0.35">
      <c r="A166">
        <f>RAW_ACDOCA!A166</f>
        <v>100073</v>
      </c>
      <c r="B166">
        <f>ROW()</f>
        <v>166</v>
      </c>
      <c r="C166">
        <f>RAW_ACDOCA!D166</f>
        <v>514100</v>
      </c>
      <c r="D166">
        <f>RAW_ACDOCA!I166</f>
        <v>7000</v>
      </c>
      <c r="E166" t="str">
        <f>RAW_ACDOCA!J166</f>
        <v>MAD</v>
      </c>
      <c r="F166">
        <f t="shared" si="14"/>
        <v>7025</v>
      </c>
      <c r="G166">
        <f t="shared" si="15"/>
        <v>60654</v>
      </c>
      <c r="H166">
        <f t="shared" si="16"/>
        <v>53629</v>
      </c>
      <c r="I166">
        <f t="shared" si="17"/>
        <v>141097.5</v>
      </c>
      <c r="J166" t="str">
        <f t="shared" si="18"/>
        <v>NORMAL</v>
      </c>
      <c r="K166" t="str">
        <f t="shared" si="19"/>
        <v>Aucune action</v>
      </c>
    </row>
    <row r="167" spans="1:11" x14ac:dyDescent="0.35">
      <c r="A167">
        <f>RAW_ACDOCA!A167</f>
        <v>100073</v>
      </c>
      <c r="B167">
        <f>ROW()</f>
        <v>167</v>
      </c>
      <c r="C167">
        <f>RAW_ACDOCA!D167</f>
        <v>619100</v>
      </c>
      <c r="D167">
        <f>RAW_ACDOCA!I167</f>
        <v>7000</v>
      </c>
      <c r="E167" t="str">
        <f>RAW_ACDOCA!J167</f>
        <v>MAD</v>
      </c>
      <c r="F167">
        <f t="shared" si="14"/>
        <v>7025</v>
      </c>
      <c r="G167">
        <f t="shared" si="15"/>
        <v>60654</v>
      </c>
      <c r="H167">
        <f t="shared" si="16"/>
        <v>53629</v>
      </c>
      <c r="I167">
        <f t="shared" si="17"/>
        <v>141097.5</v>
      </c>
      <c r="J167" t="str">
        <f t="shared" si="18"/>
        <v>NORMAL</v>
      </c>
      <c r="K167" t="str">
        <f t="shared" si="19"/>
        <v>Aucune action</v>
      </c>
    </row>
    <row r="168" spans="1:11" x14ac:dyDescent="0.35">
      <c r="A168">
        <f>RAW_ACDOCA!A168</f>
        <v>100074</v>
      </c>
      <c r="B168">
        <f>ROW()</f>
        <v>168</v>
      </c>
      <c r="C168">
        <f>RAW_ACDOCA!D168</f>
        <v>514100</v>
      </c>
      <c r="D168">
        <f>RAW_ACDOCA!I168</f>
        <v>3200</v>
      </c>
      <c r="E168" t="str">
        <f>RAW_ACDOCA!J168</f>
        <v>MAD</v>
      </c>
      <c r="F168">
        <f t="shared" si="14"/>
        <v>7025</v>
      </c>
      <c r="G168">
        <f t="shared" si="15"/>
        <v>60654</v>
      </c>
      <c r="H168">
        <f t="shared" si="16"/>
        <v>53629</v>
      </c>
      <c r="I168">
        <f t="shared" si="17"/>
        <v>141097.5</v>
      </c>
      <c r="J168" t="str">
        <f t="shared" si="18"/>
        <v>NORMAL</v>
      </c>
      <c r="K168" t="str">
        <f t="shared" si="19"/>
        <v>Aucune action</v>
      </c>
    </row>
    <row r="169" spans="1:11" x14ac:dyDescent="0.35">
      <c r="A169">
        <f>RAW_ACDOCA!A169</f>
        <v>100074</v>
      </c>
      <c r="B169">
        <f>ROW()</f>
        <v>169</v>
      </c>
      <c r="C169">
        <f>RAW_ACDOCA!D169</f>
        <v>614100</v>
      </c>
      <c r="D169">
        <f>RAW_ACDOCA!I169</f>
        <v>3200</v>
      </c>
      <c r="E169" t="str">
        <f>RAW_ACDOCA!J169</f>
        <v>MAD</v>
      </c>
      <c r="F169">
        <f t="shared" si="14"/>
        <v>7025</v>
      </c>
      <c r="G169">
        <f t="shared" si="15"/>
        <v>60654</v>
      </c>
      <c r="H169">
        <f t="shared" si="16"/>
        <v>53629</v>
      </c>
      <c r="I169">
        <f t="shared" si="17"/>
        <v>141097.5</v>
      </c>
      <c r="J169" t="str">
        <f t="shared" si="18"/>
        <v>NORMAL</v>
      </c>
      <c r="K169" t="str">
        <f t="shared" si="19"/>
        <v>Aucune action</v>
      </c>
    </row>
    <row r="170" spans="1:11" x14ac:dyDescent="0.35">
      <c r="A170">
        <f>RAW_ACDOCA!A170</f>
        <v>100075</v>
      </c>
      <c r="B170">
        <f>ROW()</f>
        <v>170</v>
      </c>
      <c r="C170">
        <f>RAW_ACDOCA!D170</f>
        <v>514100</v>
      </c>
      <c r="D170">
        <f>RAW_ACDOCA!I170</f>
        <v>2800</v>
      </c>
      <c r="E170" t="str">
        <f>RAW_ACDOCA!J170</f>
        <v>MAD</v>
      </c>
      <c r="F170">
        <f t="shared" si="14"/>
        <v>7025</v>
      </c>
      <c r="G170">
        <f t="shared" si="15"/>
        <v>60654</v>
      </c>
      <c r="H170">
        <f t="shared" si="16"/>
        <v>53629</v>
      </c>
      <c r="I170">
        <f t="shared" si="17"/>
        <v>141097.5</v>
      </c>
      <c r="J170" t="str">
        <f t="shared" si="18"/>
        <v>NORMAL</v>
      </c>
      <c r="K170" t="str">
        <f t="shared" si="19"/>
        <v>Aucune action</v>
      </c>
    </row>
    <row r="171" spans="1:11" x14ac:dyDescent="0.35">
      <c r="A171">
        <f>RAW_ACDOCA!A171</f>
        <v>100075</v>
      </c>
      <c r="B171">
        <f>ROW()</f>
        <v>171</v>
      </c>
      <c r="C171">
        <f>RAW_ACDOCA!D171</f>
        <v>618100</v>
      </c>
      <c r="D171">
        <f>RAW_ACDOCA!I171</f>
        <v>2800</v>
      </c>
      <c r="E171" t="str">
        <f>RAW_ACDOCA!J171</f>
        <v>MAD</v>
      </c>
      <c r="F171">
        <f t="shared" si="14"/>
        <v>7025</v>
      </c>
      <c r="G171">
        <f t="shared" si="15"/>
        <v>60654</v>
      </c>
      <c r="H171">
        <f t="shared" si="16"/>
        <v>53629</v>
      </c>
      <c r="I171">
        <f t="shared" si="17"/>
        <v>141097.5</v>
      </c>
      <c r="J171" t="str">
        <f t="shared" si="18"/>
        <v>NORMAL</v>
      </c>
      <c r="K171" t="str">
        <f t="shared" si="19"/>
        <v>Aucune action</v>
      </c>
    </row>
    <row r="172" spans="1:11" x14ac:dyDescent="0.35">
      <c r="A172">
        <f>RAW_ACDOCA!A172</f>
        <v>100076</v>
      </c>
      <c r="B172">
        <f>ROW()</f>
        <v>172</v>
      </c>
      <c r="C172">
        <f>RAW_ACDOCA!D172</f>
        <v>514100</v>
      </c>
      <c r="D172">
        <f>RAW_ACDOCA!I172</f>
        <v>4100</v>
      </c>
      <c r="E172" t="str">
        <f>RAW_ACDOCA!J172</f>
        <v>MAD</v>
      </c>
      <c r="F172">
        <f t="shared" si="14"/>
        <v>7025</v>
      </c>
      <c r="G172">
        <f t="shared" si="15"/>
        <v>60654</v>
      </c>
      <c r="H172">
        <f t="shared" si="16"/>
        <v>53629</v>
      </c>
      <c r="I172">
        <f t="shared" si="17"/>
        <v>141097.5</v>
      </c>
      <c r="J172" t="str">
        <f t="shared" si="18"/>
        <v>NORMAL</v>
      </c>
      <c r="K172" t="str">
        <f t="shared" si="19"/>
        <v>Aucune action</v>
      </c>
    </row>
    <row r="173" spans="1:11" x14ac:dyDescent="0.35">
      <c r="A173">
        <f>RAW_ACDOCA!A173</f>
        <v>100076</v>
      </c>
      <c r="B173">
        <f>ROW()</f>
        <v>173</v>
      </c>
      <c r="C173">
        <f>RAW_ACDOCA!D173</f>
        <v>614100</v>
      </c>
      <c r="D173">
        <f>RAW_ACDOCA!I173</f>
        <v>4100</v>
      </c>
      <c r="E173" t="str">
        <f>RAW_ACDOCA!J173</f>
        <v>MAD</v>
      </c>
      <c r="F173">
        <f t="shared" si="14"/>
        <v>7025</v>
      </c>
      <c r="G173">
        <f t="shared" si="15"/>
        <v>60654</v>
      </c>
      <c r="H173">
        <f t="shared" si="16"/>
        <v>53629</v>
      </c>
      <c r="I173">
        <f t="shared" si="17"/>
        <v>141097.5</v>
      </c>
      <c r="J173" t="str">
        <f t="shared" si="18"/>
        <v>NORMAL</v>
      </c>
      <c r="K173" t="str">
        <f t="shared" si="19"/>
        <v>Aucune action</v>
      </c>
    </row>
    <row r="174" spans="1:11" x14ac:dyDescent="0.35">
      <c r="A174">
        <f>RAW_ACDOCA!A174</f>
        <v>100077</v>
      </c>
      <c r="B174">
        <f>ROW()</f>
        <v>174</v>
      </c>
      <c r="C174">
        <f>RAW_ACDOCA!D174</f>
        <v>514100</v>
      </c>
      <c r="D174">
        <f>RAW_ACDOCA!I174</f>
        <v>3600</v>
      </c>
      <c r="E174" t="str">
        <f>RAW_ACDOCA!J174</f>
        <v>MAD</v>
      </c>
      <c r="F174">
        <f t="shared" si="14"/>
        <v>7025</v>
      </c>
      <c r="G174">
        <f t="shared" si="15"/>
        <v>60654</v>
      </c>
      <c r="H174">
        <f t="shared" si="16"/>
        <v>53629</v>
      </c>
      <c r="I174">
        <f t="shared" si="17"/>
        <v>141097.5</v>
      </c>
      <c r="J174" t="str">
        <f t="shared" si="18"/>
        <v>NORMAL</v>
      </c>
      <c r="K174" t="str">
        <f t="shared" si="19"/>
        <v>Aucune action</v>
      </c>
    </row>
    <row r="175" spans="1:11" x14ac:dyDescent="0.35">
      <c r="A175">
        <f>RAW_ACDOCA!A175</f>
        <v>100077</v>
      </c>
      <c r="B175">
        <f>ROW()</f>
        <v>175</v>
      </c>
      <c r="C175">
        <f>RAW_ACDOCA!D175</f>
        <v>618100</v>
      </c>
      <c r="D175">
        <f>RAW_ACDOCA!I175</f>
        <v>3600</v>
      </c>
      <c r="E175" t="str">
        <f>RAW_ACDOCA!J175</f>
        <v>MAD</v>
      </c>
      <c r="F175">
        <f t="shared" si="14"/>
        <v>7025</v>
      </c>
      <c r="G175">
        <f t="shared" si="15"/>
        <v>60654</v>
      </c>
      <c r="H175">
        <f t="shared" si="16"/>
        <v>53629</v>
      </c>
      <c r="I175">
        <f t="shared" si="17"/>
        <v>141097.5</v>
      </c>
      <c r="J175" t="str">
        <f t="shared" si="18"/>
        <v>NORMAL</v>
      </c>
      <c r="K175" t="str">
        <f t="shared" si="19"/>
        <v>Aucune action</v>
      </c>
    </row>
    <row r="176" spans="1:11" x14ac:dyDescent="0.35">
      <c r="A176">
        <f>RAW_ACDOCA!A176</f>
        <v>100078</v>
      </c>
      <c r="B176">
        <f>ROW()</f>
        <v>176</v>
      </c>
      <c r="C176">
        <f>RAW_ACDOCA!D176</f>
        <v>514100</v>
      </c>
      <c r="D176">
        <f>RAW_ACDOCA!I176</f>
        <v>3900</v>
      </c>
      <c r="E176" t="str">
        <f>RAW_ACDOCA!J176</f>
        <v>MAD</v>
      </c>
      <c r="F176">
        <f t="shared" si="14"/>
        <v>7025</v>
      </c>
      <c r="G176">
        <f t="shared" si="15"/>
        <v>60654</v>
      </c>
      <c r="H176">
        <f t="shared" si="16"/>
        <v>53629</v>
      </c>
      <c r="I176">
        <f t="shared" si="17"/>
        <v>141097.5</v>
      </c>
      <c r="J176" t="str">
        <f t="shared" si="18"/>
        <v>NORMAL</v>
      </c>
      <c r="K176" t="str">
        <f t="shared" si="19"/>
        <v>Aucune action</v>
      </c>
    </row>
    <row r="177" spans="1:11" x14ac:dyDescent="0.35">
      <c r="A177">
        <f>RAW_ACDOCA!A177</f>
        <v>100078</v>
      </c>
      <c r="B177">
        <f>ROW()</f>
        <v>177</v>
      </c>
      <c r="C177">
        <f>RAW_ACDOCA!D177</f>
        <v>614100</v>
      </c>
      <c r="D177">
        <f>RAW_ACDOCA!I177</f>
        <v>3900</v>
      </c>
      <c r="E177" t="str">
        <f>RAW_ACDOCA!J177</f>
        <v>MAD</v>
      </c>
      <c r="F177">
        <f t="shared" si="14"/>
        <v>7025</v>
      </c>
      <c r="G177">
        <f t="shared" si="15"/>
        <v>60654</v>
      </c>
      <c r="H177">
        <f t="shared" si="16"/>
        <v>53629</v>
      </c>
      <c r="I177">
        <f t="shared" si="17"/>
        <v>141097.5</v>
      </c>
      <c r="J177" t="str">
        <f t="shared" si="18"/>
        <v>NORMAL</v>
      </c>
      <c r="K177" t="str">
        <f t="shared" si="19"/>
        <v>Aucune action</v>
      </c>
    </row>
    <row r="178" spans="1:11" x14ac:dyDescent="0.35">
      <c r="A178">
        <f>RAW_ACDOCA!A178</f>
        <v>100079</v>
      </c>
      <c r="B178">
        <f>ROW()</f>
        <v>178</v>
      </c>
      <c r="C178">
        <f>RAW_ACDOCA!D178</f>
        <v>514100</v>
      </c>
      <c r="D178">
        <f>RAW_ACDOCA!I178</f>
        <v>4300</v>
      </c>
      <c r="E178" t="str">
        <f>RAW_ACDOCA!J178</f>
        <v>MAD</v>
      </c>
      <c r="F178">
        <f t="shared" si="14"/>
        <v>7025</v>
      </c>
      <c r="G178">
        <f t="shared" si="15"/>
        <v>60654</v>
      </c>
      <c r="H178">
        <f t="shared" si="16"/>
        <v>53629</v>
      </c>
      <c r="I178">
        <f t="shared" si="17"/>
        <v>141097.5</v>
      </c>
      <c r="J178" t="str">
        <f t="shared" si="18"/>
        <v>NORMAL</v>
      </c>
      <c r="K178" t="str">
        <f t="shared" si="19"/>
        <v>Aucune action</v>
      </c>
    </row>
    <row r="179" spans="1:11" x14ac:dyDescent="0.35">
      <c r="A179">
        <f>RAW_ACDOCA!A179</f>
        <v>100079</v>
      </c>
      <c r="B179">
        <f>ROW()</f>
        <v>179</v>
      </c>
      <c r="C179">
        <f>RAW_ACDOCA!D179</f>
        <v>618100</v>
      </c>
      <c r="D179">
        <f>RAW_ACDOCA!I179</f>
        <v>4300</v>
      </c>
      <c r="E179" t="str">
        <f>RAW_ACDOCA!J179</f>
        <v>MAD</v>
      </c>
      <c r="F179">
        <f t="shared" si="14"/>
        <v>7025</v>
      </c>
      <c r="G179">
        <f t="shared" si="15"/>
        <v>60654</v>
      </c>
      <c r="H179">
        <f t="shared" si="16"/>
        <v>53629</v>
      </c>
      <c r="I179">
        <f t="shared" si="17"/>
        <v>141097.5</v>
      </c>
      <c r="J179" t="str">
        <f t="shared" si="18"/>
        <v>NORMAL</v>
      </c>
      <c r="K179" t="str">
        <f t="shared" si="19"/>
        <v>Aucune action</v>
      </c>
    </row>
    <row r="180" spans="1:11" x14ac:dyDescent="0.35">
      <c r="A180">
        <f>RAW_ACDOCA!A180</f>
        <v>200001</v>
      </c>
      <c r="B180">
        <f>ROW()</f>
        <v>180</v>
      </c>
      <c r="C180">
        <f>RAW_ACDOCA!D180</f>
        <v>345500</v>
      </c>
      <c r="D180">
        <f>RAW_ACDOCA!I180</f>
        <v>9000</v>
      </c>
      <c r="E180" t="str">
        <f>RAW_ACDOCA!J180</f>
        <v>MAD</v>
      </c>
      <c r="F180">
        <f t="shared" si="14"/>
        <v>7025</v>
      </c>
      <c r="G180">
        <f t="shared" si="15"/>
        <v>60654</v>
      </c>
      <c r="H180">
        <f t="shared" si="16"/>
        <v>53629</v>
      </c>
      <c r="I180">
        <f t="shared" si="17"/>
        <v>141097.5</v>
      </c>
      <c r="J180" t="str">
        <f t="shared" si="18"/>
        <v>NORMAL</v>
      </c>
      <c r="K180" t="str">
        <f t="shared" si="19"/>
        <v>Aucune action</v>
      </c>
    </row>
    <row r="181" spans="1:11" x14ac:dyDescent="0.35">
      <c r="A181">
        <f>RAW_ACDOCA!A181</f>
        <v>200001</v>
      </c>
      <c r="B181">
        <f>ROW()</f>
        <v>181</v>
      </c>
      <c r="C181">
        <f>RAW_ACDOCA!D181</f>
        <v>441100</v>
      </c>
      <c r="D181">
        <f>RAW_ACDOCA!I181</f>
        <v>53000</v>
      </c>
      <c r="E181" t="str">
        <f>RAW_ACDOCA!J181</f>
        <v>MAD</v>
      </c>
      <c r="F181">
        <f t="shared" si="14"/>
        <v>7025</v>
      </c>
      <c r="G181">
        <f t="shared" si="15"/>
        <v>60654</v>
      </c>
      <c r="H181">
        <f t="shared" si="16"/>
        <v>53629</v>
      </c>
      <c r="I181">
        <f t="shared" si="17"/>
        <v>141097.5</v>
      </c>
      <c r="J181" t="str">
        <f t="shared" si="18"/>
        <v>NORMAL</v>
      </c>
      <c r="K181" t="str">
        <f>IF(J181="OUTLIER","Exception - À analyser","Aucune action")</f>
        <v>Aucune action</v>
      </c>
    </row>
    <row r="182" spans="1:11" x14ac:dyDescent="0.35">
      <c r="A182">
        <f>RAW_ACDOCA!A182</f>
        <v>200001</v>
      </c>
      <c r="B182">
        <f>ROW()</f>
        <v>182</v>
      </c>
      <c r="C182">
        <f>RAW_ACDOCA!D182</f>
        <v>611100</v>
      </c>
      <c r="D182">
        <f>RAW_ACDOCA!I182</f>
        <v>45000</v>
      </c>
      <c r="E182" t="str">
        <f>RAW_ACDOCA!J182</f>
        <v>MAD</v>
      </c>
      <c r="F182">
        <f t="shared" si="14"/>
        <v>7025</v>
      </c>
      <c r="G182">
        <f t="shared" si="15"/>
        <v>60654</v>
      </c>
      <c r="H182">
        <f t="shared" si="16"/>
        <v>53629</v>
      </c>
      <c r="I182">
        <f t="shared" si="17"/>
        <v>141097.5</v>
      </c>
      <c r="J182" t="str">
        <f t="shared" si="18"/>
        <v>NORMAL</v>
      </c>
      <c r="K182" t="str">
        <f t="shared" ref="K182:K191" si="20">IF(J182="OUTLIER","Exception - À analyser","Aucune action")</f>
        <v>Aucune action</v>
      </c>
    </row>
    <row r="183" spans="1:11" x14ac:dyDescent="0.35">
      <c r="A183">
        <f>RAW_ACDOCA!A183</f>
        <v>200002</v>
      </c>
      <c r="B183">
        <f>ROW()</f>
        <v>183</v>
      </c>
      <c r="C183">
        <f>RAW_ACDOCA!D183</f>
        <v>342100</v>
      </c>
      <c r="D183">
        <f>RAW_ACDOCA!I183</f>
        <v>36000</v>
      </c>
      <c r="E183" t="str">
        <f>RAW_ACDOCA!J183</f>
        <v>MAD</v>
      </c>
      <c r="F183">
        <f t="shared" si="14"/>
        <v>7025</v>
      </c>
      <c r="G183">
        <f t="shared" si="15"/>
        <v>60654</v>
      </c>
      <c r="H183">
        <f t="shared" si="16"/>
        <v>53629</v>
      </c>
      <c r="I183">
        <f t="shared" si="17"/>
        <v>141097.5</v>
      </c>
      <c r="J183" t="str">
        <f t="shared" si="18"/>
        <v>NORMAL</v>
      </c>
      <c r="K183" t="str">
        <f t="shared" si="20"/>
        <v>Aucune action</v>
      </c>
    </row>
    <row r="184" spans="1:11" x14ac:dyDescent="0.35">
      <c r="A184">
        <f>RAW_ACDOCA!A184</f>
        <v>200002</v>
      </c>
      <c r="B184">
        <f>ROW()</f>
        <v>184</v>
      </c>
      <c r="C184">
        <f>RAW_ACDOCA!D184</f>
        <v>445500</v>
      </c>
      <c r="D184">
        <f>RAW_ACDOCA!I184</f>
        <v>5000</v>
      </c>
      <c r="E184" t="str">
        <f>RAW_ACDOCA!J184</f>
        <v>MAD</v>
      </c>
      <c r="F184">
        <f t="shared" si="14"/>
        <v>7025</v>
      </c>
      <c r="G184">
        <f t="shared" si="15"/>
        <v>60654</v>
      </c>
      <c r="H184">
        <f t="shared" si="16"/>
        <v>53629</v>
      </c>
      <c r="I184">
        <f t="shared" si="17"/>
        <v>141097.5</v>
      </c>
      <c r="J184" t="str">
        <f t="shared" si="18"/>
        <v>NORMAL</v>
      </c>
      <c r="K184" t="str">
        <f t="shared" si="20"/>
        <v>Aucune action</v>
      </c>
    </row>
    <row r="185" spans="1:11" x14ac:dyDescent="0.35">
      <c r="A185">
        <f>RAW_ACDOCA!A185</f>
        <v>200002</v>
      </c>
      <c r="B185">
        <f>ROW()</f>
        <v>185</v>
      </c>
      <c r="C185">
        <f>RAW_ACDOCA!D185</f>
        <v>711100</v>
      </c>
      <c r="D185">
        <f>RAW_ACDOCA!I185</f>
        <v>28000</v>
      </c>
      <c r="E185" t="str">
        <f>RAW_ACDOCA!J185</f>
        <v>MAD</v>
      </c>
      <c r="F185">
        <f t="shared" si="14"/>
        <v>7025</v>
      </c>
      <c r="G185">
        <f t="shared" si="15"/>
        <v>60654</v>
      </c>
      <c r="H185">
        <f>G185-F185</f>
        <v>53629</v>
      </c>
      <c r="I185">
        <f t="shared" si="17"/>
        <v>141097.5</v>
      </c>
      <c r="J185" t="str">
        <f t="shared" si="18"/>
        <v>NORMAL</v>
      </c>
      <c r="K185" t="str">
        <f t="shared" si="20"/>
        <v>Aucune action</v>
      </c>
    </row>
    <row r="186" spans="1:11" x14ac:dyDescent="0.35">
      <c r="A186">
        <f>RAW_ACDOCA!A186</f>
        <v>300001</v>
      </c>
      <c r="B186">
        <f>ROW()</f>
        <v>186</v>
      </c>
      <c r="C186">
        <f>RAW_ACDOCA!D186</f>
        <v>345500</v>
      </c>
      <c r="D186">
        <f>RAW_ACDOCA!I186</f>
        <v>500000</v>
      </c>
      <c r="E186" t="str">
        <f>RAW_ACDOCA!J186</f>
        <v>MAD</v>
      </c>
      <c r="F186">
        <f t="shared" si="14"/>
        <v>7025</v>
      </c>
      <c r="G186">
        <f t="shared" si="15"/>
        <v>60654</v>
      </c>
      <c r="H186">
        <f t="shared" si="16"/>
        <v>53629</v>
      </c>
      <c r="I186">
        <f t="shared" si="17"/>
        <v>141097.5</v>
      </c>
      <c r="J186" t="str">
        <f t="shared" si="18"/>
        <v>NORMAL</v>
      </c>
      <c r="K186" t="str">
        <f t="shared" si="20"/>
        <v>Aucune action</v>
      </c>
    </row>
    <row r="187" spans="1:11" x14ac:dyDescent="0.35">
      <c r="A187">
        <f>RAW_ACDOCA!A187</f>
        <v>300001</v>
      </c>
      <c r="B187">
        <f>ROW()</f>
        <v>187</v>
      </c>
      <c r="C187">
        <f>RAW_ACDOCA!D187</f>
        <v>441100</v>
      </c>
      <c r="D187">
        <f>RAW_ACDOCA!I187</f>
        <v>3000000</v>
      </c>
      <c r="E187" t="str">
        <f>RAW_ACDOCA!J187</f>
        <v>MAD</v>
      </c>
      <c r="F187">
        <f t="shared" si="14"/>
        <v>7025</v>
      </c>
      <c r="G187">
        <f t="shared" si="15"/>
        <v>60654</v>
      </c>
      <c r="H187">
        <f t="shared" si="16"/>
        <v>53629</v>
      </c>
      <c r="I187">
        <f>G187+1.5*H187</f>
        <v>141097.5</v>
      </c>
      <c r="J187" t="str">
        <f t="shared" si="18"/>
        <v>NORMAL</v>
      </c>
      <c r="K187" t="str">
        <f t="shared" si="20"/>
        <v>Aucune action</v>
      </c>
    </row>
    <row r="188" spans="1:11" x14ac:dyDescent="0.35">
      <c r="A188">
        <f>RAW_ACDOCA!A188</f>
        <v>300001</v>
      </c>
      <c r="B188">
        <f>ROW()</f>
        <v>188</v>
      </c>
      <c r="C188">
        <f>RAW_ACDOCA!D188</f>
        <v>618100</v>
      </c>
      <c r="D188">
        <f>RAW_ACDOCA!I188</f>
        <v>2500000</v>
      </c>
      <c r="E188" t="str">
        <f>RAW_ACDOCA!J188</f>
        <v>MAD</v>
      </c>
      <c r="F188">
        <f t="shared" si="14"/>
        <v>7025</v>
      </c>
      <c r="G188">
        <f t="shared" si="15"/>
        <v>60654</v>
      </c>
      <c r="H188">
        <f t="shared" si="16"/>
        <v>53629</v>
      </c>
      <c r="I188">
        <f t="shared" si="17"/>
        <v>141097.5</v>
      </c>
      <c r="J188" t="str">
        <f t="shared" si="18"/>
        <v>OUTLIER_ATTENDU</v>
      </c>
      <c r="K188" t="str">
        <f t="shared" si="20"/>
        <v>Aucune action</v>
      </c>
    </row>
    <row r="189" spans="1:11" x14ac:dyDescent="0.35">
      <c r="A189">
        <f>RAW_ACDOCA!A189</f>
        <v>300002</v>
      </c>
      <c r="B189">
        <f>ROW()</f>
        <v>189</v>
      </c>
      <c r="C189">
        <f>RAW_ACDOCA!D189</f>
        <v>345500</v>
      </c>
      <c r="D189">
        <f>RAW_ACDOCA!I189</f>
        <v>300000</v>
      </c>
      <c r="E189" t="str">
        <f>RAW_ACDOCA!J189</f>
        <v>MAD</v>
      </c>
      <c r="F189">
        <f t="shared" si="14"/>
        <v>7025</v>
      </c>
      <c r="G189">
        <f t="shared" si="15"/>
        <v>60654</v>
      </c>
      <c r="H189">
        <f t="shared" si="16"/>
        <v>53629</v>
      </c>
      <c r="I189">
        <f t="shared" si="17"/>
        <v>141097.5</v>
      </c>
      <c r="J189" t="str">
        <f t="shared" si="18"/>
        <v>NORMAL</v>
      </c>
      <c r="K189" t="str">
        <f t="shared" si="20"/>
        <v>Aucune action</v>
      </c>
    </row>
    <row r="190" spans="1:11" x14ac:dyDescent="0.35">
      <c r="A190">
        <f>RAW_ACDOCA!A190</f>
        <v>300002</v>
      </c>
      <c r="B190">
        <f>ROW()</f>
        <v>190</v>
      </c>
      <c r="C190">
        <f>RAW_ACDOCA!D190</f>
        <v>441100</v>
      </c>
      <c r="D190">
        <f>RAW_ACDOCA!I190</f>
        <v>1800000</v>
      </c>
      <c r="E190" t="str">
        <f>RAW_ACDOCA!J190</f>
        <v>MAD</v>
      </c>
      <c r="F190">
        <f t="shared" si="14"/>
        <v>7025</v>
      </c>
      <c r="G190">
        <f t="shared" si="15"/>
        <v>60654</v>
      </c>
      <c r="H190">
        <f t="shared" si="16"/>
        <v>53629</v>
      </c>
      <c r="I190">
        <f t="shared" si="17"/>
        <v>141097.5</v>
      </c>
      <c r="J190" t="str">
        <f t="shared" si="18"/>
        <v>NORMAL</v>
      </c>
      <c r="K190" t="str">
        <f t="shared" si="20"/>
        <v>Aucune action</v>
      </c>
    </row>
    <row r="191" spans="1:11" x14ac:dyDescent="0.35">
      <c r="A191">
        <f>RAW_ACDOCA!A191</f>
        <v>300002</v>
      </c>
      <c r="B191">
        <f>ROW()</f>
        <v>191</v>
      </c>
      <c r="C191">
        <f>RAW_ACDOCA!D191</f>
        <v>611100</v>
      </c>
      <c r="D191">
        <f>RAW_ACDOCA!I191</f>
        <v>1500000</v>
      </c>
      <c r="E191" t="str">
        <f>RAW_ACDOCA!J191</f>
        <v>MAD</v>
      </c>
      <c r="F191">
        <f t="shared" si="14"/>
        <v>7025</v>
      </c>
      <c r="G191">
        <f t="shared" si="15"/>
        <v>60654</v>
      </c>
      <c r="H191">
        <f t="shared" si="16"/>
        <v>53629</v>
      </c>
      <c r="I191">
        <f>G191+1.5*H191</f>
        <v>141097.5</v>
      </c>
      <c r="J191" t="str">
        <f t="shared" si="18"/>
        <v>OUTLIER_ATTENDU</v>
      </c>
      <c r="K191" t="str">
        <f t="shared" si="20"/>
        <v>Aucune action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tabSelected="1" workbookViewId="0">
      <selection sqref="A1:H1"/>
    </sheetView>
  </sheetViews>
  <sheetFormatPr baseColWidth="10" defaultRowHeight="14.5" x14ac:dyDescent="0.35"/>
  <cols>
    <col min="6" max="6" width="14.81640625" customWidth="1"/>
  </cols>
  <sheetData>
    <row r="1" spans="1:8" ht="29" x14ac:dyDescent="0.35">
      <c r="A1" s="19" t="s">
        <v>146</v>
      </c>
      <c r="B1" s="22" t="s">
        <v>147</v>
      </c>
      <c r="C1" s="22" t="s">
        <v>2</v>
      </c>
      <c r="D1" s="22" t="s">
        <v>7</v>
      </c>
      <c r="E1" s="19" t="s">
        <v>8</v>
      </c>
      <c r="F1" s="19" t="s">
        <v>185</v>
      </c>
      <c r="G1" s="19" t="s">
        <v>144</v>
      </c>
      <c r="H1" s="19" t="s">
        <v>150</v>
      </c>
    </row>
    <row r="2" spans="1:8" x14ac:dyDescent="0.35">
      <c r="A2" s="12">
        <v>100002</v>
      </c>
      <c r="B2" s="12">
        <v>6</v>
      </c>
      <c r="C2" s="12">
        <v>441100</v>
      </c>
      <c r="D2" s="15">
        <v>62400</v>
      </c>
      <c r="E2" s="11" t="s">
        <v>13</v>
      </c>
      <c r="F2" s="11" t="s">
        <v>186</v>
      </c>
      <c r="G2" s="11" t="s">
        <v>156</v>
      </c>
      <c r="H2" s="11" t="s">
        <v>187</v>
      </c>
    </row>
    <row r="3" spans="1:8" x14ac:dyDescent="0.35">
      <c r="A3" s="12">
        <v>100010</v>
      </c>
      <c r="B3" s="12">
        <v>25</v>
      </c>
      <c r="C3" s="12">
        <v>514100</v>
      </c>
      <c r="D3" s="15">
        <v>6200</v>
      </c>
      <c r="E3" s="11" t="s">
        <v>13</v>
      </c>
      <c r="F3" s="11" t="s">
        <v>186</v>
      </c>
      <c r="G3" s="11" t="s">
        <v>162</v>
      </c>
      <c r="H3" s="11" t="s">
        <v>187</v>
      </c>
    </row>
    <row r="4" spans="1:8" ht="14.5" customHeight="1" x14ac:dyDescent="0.35">
      <c r="A4" s="12">
        <v>200001</v>
      </c>
      <c r="B4" s="12">
        <v>180</v>
      </c>
      <c r="C4" s="12">
        <v>345500</v>
      </c>
      <c r="D4" s="15">
        <v>9000</v>
      </c>
      <c r="E4" s="11" t="s">
        <v>13</v>
      </c>
      <c r="F4" s="11" t="s">
        <v>167</v>
      </c>
      <c r="G4" s="11" t="s">
        <v>163</v>
      </c>
      <c r="H4" s="11" t="s">
        <v>187</v>
      </c>
    </row>
    <row r="5" spans="1:8" ht="16.5" customHeight="1" x14ac:dyDescent="0.35">
      <c r="A5" s="12">
        <v>200001</v>
      </c>
      <c r="B5" s="12">
        <v>181</v>
      </c>
      <c r="C5" s="12">
        <v>441100</v>
      </c>
      <c r="D5" s="15">
        <v>53000</v>
      </c>
      <c r="E5" s="11" t="s">
        <v>13</v>
      </c>
      <c r="F5" s="11" t="s">
        <v>167</v>
      </c>
      <c r="G5" s="11" t="s">
        <v>163</v>
      </c>
      <c r="H5" s="11" t="s">
        <v>187</v>
      </c>
    </row>
    <row r="6" spans="1:8" ht="16" customHeight="1" x14ac:dyDescent="0.35">
      <c r="A6" s="12">
        <v>200001</v>
      </c>
      <c r="B6" s="12">
        <v>182</v>
      </c>
      <c r="C6" s="12">
        <v>611100</v>
      </c>
      <c r="D6" s="15">
        <v>45000</v>
      </c>
      <c r="E6" s="11" t="s">
        <v>13</v>
      </c>
      <c r="F6" s="11" t="s">
        <v>167</v>
      </c>
      <c r="G6" s="11" t="s">
        <v>163</v>
      </c>
      <c r="H6" s="11" t="s">
        <v>187</v>
      </c>
    </row>
    <row r="7" spans="1:8" ht="17.5" customHeight="1" x14ac:dyDescent="0.35">
      <c r="A7" s="12">
        <v>200002</v>
      </c>
      <c r="B7" s="12">
        <v>183</v>
      </c>
      <c r="C7" s="12">
        <v>342100</v>
      </c>
      <c r="D7" s="15">
        <v>36000</v>
      </c>
      <c r="E7" s="11" t="s">
        <v>13</v>
      </c>
      <c r="F7" s="11" t="s">
        <v>167</v>
      </c>
      <c r="G7" s="11" t="s">
        <v>164</v>
      </c>
      <c r="H7" s="11" t="s">
        <v>187</v>
      </c>
    </row>
    <row r="8" spans="1:8" ht="17" customHeight="1" x14ac:dyDescent="0.35">
      <c r="A8" s="12">
        <v>200002</v>
      </c>
      <c r="B8" s="12">
        <v>184</v>
      </c>
      <c r="C8" s="12">
        <v>445500</v>
      </c>
      <c r="D8" s="15">
        <v>5000</v>
      </c>
      <c r="E8" s="11" t="s">
        <v>13</v>
      </c>
      <c r="F8" s="11" t="s">
        <v>167</v>
      </c>
      <c r="G8" s="11" t="s">
        <v>164</v>
      </c>
      <c r="H8" s="11" t="s">
        <v>187</v>
      </c>
    </row>
    <row r="9" spans="1:8" ht="14" customHeight="1" x14ac:dyDescent="0.35">
      <c r="A9" s="12">
        <v>200002</v>
      </c>
      <c r="B9" s="12">
        <v>185</v>
      </c>
      <c r="C9" s="12">
        <v>711100</v>
      </c>
      <c r="D9" s="15">
        <v>28000</v>
      </c>
      <c r="E9" s="11" t="s">
        <v>13</v>
      </c>
      <c r="F9" s="11" t="s">
        <v>167</v>
      </c>
      <c r="G9" s="11" t="s">
        <v>164</v>
      </c>
      <c r="H9" s="11" t="s">
        <v>187</v>
      </c>
    </row>
    <row r="10" spans="1:8" x14ac:dyDescent="0.35">
      <c r="A10" s="12">
        <v>300001</v>
      </c>
      <c r="B10" s="12">
        <v>186</v>
      </c>
      <c r="C10" s="12">
        <v>345500</v>
      </c>
      <c r="D10" s="15">
        <v>500000</v>
      </c>
      <c r="E10" s="11" t="s">
        <v>13</v>
      </c>
      <c r="F10" s="11" t="s">
        <v>168</v>
      </c>
      <c r="G10" s="11" t="s">
        <v>165</v>
      </c>
      <c r="H10" s="11" t="s">
        <v>187</v>
      </c>
    </row>
    <row r="11" spans="1:8" x14ac:dyDescent="0.35">
      <c r="A11" s="12">
        <v>300001</v>
      </c>
      <c r="B11" s="12">
        <v>187</v>
      </c>
      <c r="C11" s="12">
        <v>441100</v>
      </c>
      <c r="D11" s="15">
        <v>3000000</v>
      </c>
      <c r="E11" s="11" t="s">
        <v>13</v>
      </c>
      <c r="F11" s="11" t="s">
        <v>168</v>
      </c>
      <c r="G11" s="11" t="s">
        <v>165</v>
      </c>
      <c r="H11" s="11" t="s">
        <v>187</v>
      </c>
    </row>
    <row r="12" spans="1:8" x14ac:dyDescent="0.35">
      <c r="A12" s="12">
        <v>300001</v>
      </c>
      <c r="B12" s="12">
        <v>188</v>
      </c>
      <c r="C12" s="12">
        <v>618100</v>
      </c>
      <c r="D12" s="15">
        <v>2500000</v>
      </c>
      <c r="E12" s="11" t="s">
        <v>13</v>
      </c>
      <c r="F12" s="11" t="s">
        <v>168</v>
      </c>
      <c r="G12" s="11" t="s">
        <v>165</v>
      </c>
      <c r="H12" s="11" t="s">
        <v>187</v>
      </c>
    </row>
    <row r="13" spans="1:8" x14ac:dyDescent="0.35">
      <c r="A13" s="12">
        <v>300002</v>
      </c>
      <c r="B13" s="12">
        <v>189</v>
      </c>
      <c r="C13" s="12">
        <v>345500</v>
      </c>
      <c r="D13" s="15">
        <v>300000</v>
      </c>
      <c r="E13" s="11" t="s">
        <v>13</v>
      </c>
      <c r="F13" s="11" t="s">
        <v>168</v>
      </c>
      <c r="G13" s="11" t="s">
        <v>166</v>
      </c>
      <c r="H13" s="11" t="s">
        <v>187</v>
      </c>
    </row>
    <row r="14" spans="1:8" x14ac:dyDescent="0.35">
      <c r="A14" s="12">
        <v>300002</v>
      </c>
      <c r="B14" s="12">
        <v>190</v>
      </c>
      <c r="C14" s="12">
        <v>441100</v>
      </c>
      <c r="D14" s="15">
        <v>1800000</v>
      </c>
      <c r="E14" s="11" t="s">
        <v>13</v>
      </c>
      <c r="F14" s="11" t="s">
        <v>168</v>
      </c>
      <c r="G14" s="11" t="s">
        <v>166</v>
      </c>
      <c r="H14" s="11" t="s">
        <v>187</v>
      </c>
    </row>
    <row r="15" spans="1:8" x14ac:dyDescent="0.35">
      <c r="A15" s="12">
        <v>300002</v>
      </c>
      <c r="B15" s="12">
        <v>191</v>
      </c>
      <c r="C15" s="12">
        <v>611100</v>
      </c>
      <c r="D15" s="15">
        <v>1500000</v>
      </c>
      <c r="E15" s="11" t="s">
        <v>13</v>
      </c>
      <c r="F15" s="11" t="s">
        <v>168</v>
      </c>
      <c r="G15" s="11" t="s">
        <v>166</v>
      </c>
      <c r="H15" s="11" t="s">
        <v>187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77"/>
  <sheetViews>
    <sheetView workbookViewId="0">
      <selection sqref="A1:XFD1"/>
    </sheetView>
  </sheetViews>
  <sheetFormatPr baseColWidth="10" defaultRowHeight="14.5" x14ac:dyDescent="0.35"/>
  <cols>
    <col min="1" max="1" width="10.90625" style="16"/>
    <col min="11" max="11" width="5.36328125" customWidth="1"/>
    <col min="12" max="12" width="16.90625" customWidth="1"/>
  </cols>
  <sheetData>
    <row r="1" spans="1:12" s="17" customFormat="1" x14ac:dyDescent="0.35">
      <c r="A1" s="17" t="s">
        <v>89</v>
      </c>
      <c r="B1" s="18" t="s">
        <v>0</v>
      </c>
      <c r="C1" s="17" t="s">
        <v>1</v>
      </c>
      <c r="D1" s="18" t="s">
        <v>2</v>
      </c>
      <c r="E1" s="17" t="s">
        <v>3</v>
      </c>
      <c r="F1" s="17" t="s">
        <v>4</v>
      </c>
      <c r="G1" s="17" t="s">
        <v>5</v>
      </c>
      <c r="H1" s="17" t="s">
        <v>6</v>
      </c>
      <c r="I1" s="18" t="s">
        <v>7</v>
      </c>
      <c r="J1" s="18" t="s">
        <v>8</v>
      </c>
      <c r="K1" s="18" t="s">
        <v>9</v>
      </c>
      <c r="L1" s="18" t="s">
        <v>10</v>
      </c>
    </row>
    <row r="2" spans="1:12" x14ac:dyDescent="0.35">
      <c r="A2" s="16">
        <v>100001</v>
      </c>
      <c r="B2" s="10">
        <v>46024</v>
      </c>
      <c r="C2" s="9">
        <v>1</v>
      </c>
      <c r="D2" s="9">
        <v>111100</v>
      </c>
      <c r="E2" t="s">
        <v>11</v>
      </c>
      <c r="F2" t="s">
        <v>12</v>
      </c>
      <c r="G2">
        <v>500000</v>
      </c>
      <c r="H2" t="s">
        <v>13</v>
      </c>
      <c r="I2" s="9">
        <v>500000</v>
      </c>
      <c r="J2" s="9" t="s">
        <v>13</v>
      </c>
      <c r="K2" s="9">
        <v>50</v>
      </c>
      <c r="L2" s="9" t="s">
        <v>14</v>
      </c>
    </row>
    <row r="3" spans="1:12" x14ac:dyDescent="0.35">
      <c r="A3" s="16">
        <v>100001</v>
      </c>
      <c r="B3" s="10">
        <v>46024</v>
      </c>
      <c r="C3" s="9">
        <v>1</v>
      </c>
      <c r="D3" s="9">
        <v>514100</v>
      </c>
      <c r="E3" t="s">
        <v>15</v>
      </c>
      <c r="F3" t="s">
        <v>12</v>
      </c>
      <c r="G3">
        <v>500000</v>
      </c>
      <c r="H3" t="s">
        <v>13</v>
      </c>
      <c r="I3" s="9">
        <v>500000</v>
      </c>
      <c r="J3" s="9" t="s">
        <v>13</v>
      </c>
      <c r="K3" s="9">
        <v>40</v>
      </c>
      <c r="L3" s="9" t="s">
        <v>16</v>
      </c>
    </row>
    <row r="4" spans="1:12" x14ac:dyDescent="0.35">
      <c r="A4" s="16">
        <v>100002</v>
      </c>
      <c r="B4" s="10">
        <v>46027</v>
      </c>
      <c r="C4" s="9">
        <v>1</v>
      </c>
      <c r="D4" s="9">
        <v>345500</v>
      </c>
      <c r="E4" t="s">
        <v>17</v>
      </c>
      <c r="F4" t="s">
        <v>12</v>
      </c>
      <c r="G4">
        <v>10400</v>
      </c>
      <c r="H4" t="s">
        <v>13</v>
      </c>
      <c r="I4" s="9">
        <v>10400</v>
      </c>
      <c r="J4" s="9" t="s">
        <v>13</v>
      </c>
      <c r="K4" s="9">
        <v>40</v>
      </c>
      <c r="L4" s="9" t="s">
        <v>18</v>
      </c>
    </row>
    <row r="5" spans="1:12" x14ac:dyDescent="0.35">
      <c r="A5" s="16">
        <v>100002</v>
      </c>
      <c r="B5" s="10">
        <v>46027</v>
      </c>
      <c r="C5" s="9">
        <v>1</v>
      </c>
      <c r="D5" s="9">
        <v>441100</v>
      </c>
      <c r="E5" t="s">
        <v>19</v>
      </c>
      <c r="F5" t="s">
        <v>12</v>
      </c>
      <c r="G5">
        <v>62400</v>
      </c>
      <c r="H5" t="s">
        <v>13</v>
      </c>
      <c r="I5" s="9">
        <v>62400</v>
      </c>
      <c r="J5" s="9" t="s">
        <v>13</v>
      </c>
      <c r="K5" s="9">
        <v>50</v>
      </c>
      <c r="L5" s="9" t="s">
        <v>20</v>
      </c>
    </row>
    <row r="6" spans="1:12" x14ac:dyDescent="0.35">
      <c r="A6" s="16">
        <v>100002</v>
      </c>
      <c r="B6" s="10">
        <v>46027</v>
      </c>
      <c r="C6" s="9">
        <v>1</v>
      </c>
      <c r="D6" s="9">
        <v>611100</v>
      </c>
      <c r="E6" t="s">
        <v>21</v>
      </c>
      <c r="F6" t="s">
        <v>22</v>
      </c>
      <c r="G6">
        <v>52000</v>
      </c>
      <c r="H6" t="s">
        <v>13</v>
      </c>
      <c r="I6" s="9">
        <v>52000</v>
      </c>
      <c r="J6" s="9" t="s">
        <v>13</v>
      </c>
      <c r="K6" s="9">
        <v>40</v>
      </c>
      <c r="L6" s="9" t="s">
        <v>23</v>
      </c>
    </row>
    <row r="7" spans="1:12" x14ac:dyDescent="0.35">
      <c r="A7" s="16">
        <v>100003</v>
      </c>
      <c r="B7" s="10">
        <v>46030</v>
      </c>
      <c r="C7" s="9">
        <v>1</v>
      </c>
      <c r="D7" s="9">
        <v>345500</v>
      </c>
      <c r="E7" t="s">
        <v>17</v>
      </c>
      <c r="F7" t="s">
        <v>12</v>
      </c>
      <c r="G7">
        <v>6944</v>
      </c>
      <c r="H7" t="s">
        <v>13</v>
      </c>
      <c r="I7" s="9">
        <v>6944</v>
      </c>
      <c r="J7" s="9" t="s">
        <v>13</v>
      </c>
      <c r="K7" s="9">
        <v>40</v>
      </c>
      <c r="L7" s="9" t="s">
        <v>24</v>
      </c>
    </row>
    <row r="8" spans="1:12" x14ac:dyDescent="0.35">
      <c r="A8" s="16">
        <v>100003</v>
      </c>
      <c r="B8" s="10">
        <v>46030</v>
      </c>
      <c r="C8" s="9">
        <v>1</v>
      </c>
      <c r="D8" s="9">
        <v>441100</v>
      </c>
      <c r="E8" t="s">
        <v>19</v>
      </c>
      <c r="F8" t="s">
        <v>12</v>
      </c>
      <c r="G8">
        <v>41664</v>
      </c>
      <c r="H8" t="s">
        <v>13</v>
      </c>
      <c r="I8" s="9">
        <v>41664</v>
      </c>
      <c r="J8" s="9" t="s">
        <v>13</v>
      </c>
      <c r="K8" s="9">
        <v>50</v>
      </c>
      <c r="L8" s="9" t="s">
        <v>25</v>
      </c>
    </row>
    <row r="9" spans="1:12" x14ac:dyDescent="0.35">
      <c r="A9" s="16">
        <v>100003</v>
      </c>
      <c r="B9" s="10">
        <v>46030</v>
      </c>
      <c r="C9" s="9">
        <v>1</v>
      </c>
      <c r="D9" s="9">
        <v>611100</v>
      </c>
      <c r="E9" t="s">
        <v>21</v>
      </c>
      <c r="F9" t="s">
        <v>22</v>
      </c>
      <c r="G9">
        <v>3200</v>
      </c>
      <c r="H9" t="s">
        <v>26</v>
      </c>
      <c r="I9" s="9">
        <v>34720</v>
      </c>
      <c r="J9" s="9" t="s">
        <v>13</v>
      </c>
      <c r="K9" s="9">
        <v>40</v>
      </c>
      <c r="L9" s="9" t="s">
        <v>27</v>
      </c>
    </row>
    <row r="10" spans="1:12" x14ac:dyDescent="0.35">
      <c r="A10" s="16">
        <v>100004</v>
      </c>
      <c r="B10" s="10">
        <v>46032</v>
      </c>
      <c r="C10" s="9">
        <v>1</v>
      </c>
      <c r="D10" s="9">
        <v>342100</v>
      </c>
      <c r="E10" t="s">
        <v>28</v>
      </c>
      <c r="F10" t="s">
        <v>12</v>
      </c>
      <c r="G10">
        <v>102000</v>
      </c>
      <c r="H10" t="s">
        <v>13</v>
      </c>
      <c r="I10" s="9">
        <v>102000</v>
      </c>
      <c r="J10" s="9" t="s">
        <v>13</v>
      </c>
      <c r="K10" s="9">
        <v>40</v>
      </c>
      <c r="L10" s="9" t="s">
        <v>29</v>
      </c>
    </row>
    <row r="11" spans="1:12" x14ac:dyDescent="0.35">
      <c r="A11" s="16">
        <v>100004</v>
      </c>
      <c r="B11" s="10">
        <v>46032</v>
      </c>
      <c r="C11" s="9">
        <v>1</v>
      </c>
      <c r="D11" s="9">
        <v>445500</v>
      </c>
      <c r="E11" t="s">
        <v>30</v>
      </c>
      <c r="F11" t="s">
        <v>12</v>
      </c>
      <c r="G11">
        <v>17000</v>
      </c>
      <c r="H11" t="s">
        <v>13</v>
      </c>
      <c r="I11" s="9">
        <v>17000</v>
      </c>
      <c r="J11" s="9" t="s">
        <v>13</v>
      </c>
      <c r="K11" s="9">
        <v>50</v>
      </c>
      <c r="L11" s="9" t="s">
        <v>31</v>
      </c>
    </row>
    <row r="12" spans="1:12" x14ac:dyDescent="0.35">
      <c r="A12" s="16">
        <v>100004</v>
      </c>
      <c r="B12" s="10">
        <v>46032</v>
      </c>
      <c r="C12" s="9">
        <v>1</v>
      </c>
      <c r="D12" s="9">
        <v>711100</v>
      </c>
      <c r="E12" t="s">
        <v>32</v>
      </c>
      <c r="F12" t="s">
        <v>33</v>
      </c>
      <c r="G12">
        <v>85000</v>
      </c>
      <c r="H12" t="s">
        <v>13</v>
      </c>
      <c r="I12" s="9">
        <v>85000</v>
      </c>
      <c r="J12" s="9" t="s">
        <v>13</v>
      </c>
      <c r="K12" s="9">
        <v>50</v>
      </c>
      <c r="L12" s="9" t="s">
        <v>34</v>
      </c>
    </row>
    <row r="13" spans="1:12" x14ac:dyDescent="0.35">
      <c r="A13" s="16">
        <v>100005</v>
      </c>
      <c r="B13" s="10">
        <v>46037</v>
      </c>
      <c r="C13" s="9">
        <v>1</v>
      </c>
      <c r="D13" s="9">
        <v>342100</v>
      </c>
      <c r="E13" t="s">
        <v>28</v>
      </c>
      <c r="F13" t="s">
        <v>12</v>
      </c>
      <c r="G13">
        <v>4200</v>
      </c>
      <c r="H13" t="s">
        <v>35</v>
      </c>
      <c r="I13" s="9">
        <v>41790</v>
      </c>
      <c r="J13" s="9" t="s">
        <v>13</v>
      </c>
      <c r="K13" s="9">
        <v>40</v>
      </c>
      <c r="L13" s="9" t="s">
        <v>36</v>
      </c>
    </row>
    <row r="14" spans="1:12" x14ac:dyDescent="0.35">
      <c r="A14" s="16">
        <v>100005</v>
      </c>
      <c r="B14" s="10">
        <v>46037</v>
      </c>
      <c r="C14" s="9">
        <v>1</v>
      </c>
      <c r="D14" s="9">
        <v>712100</v>
      </c>
      <c r="E14" t="s">
        <v>37</v>
      </c>
      <c r="F14" t="s">
        <v>33</v>
      </c>
      <c r="G14">
        <v>4200</v>
      </c>
      <c r="H14" t="s">
        <v>35</v>
      </c>
      <c r="I14" s="9">
        <v>41790</v>
      </c>
      <c r="J14" s="9" t="s">
        <v>13</v>
      </c>
      <c r="K14" s="9">
        <v>50</v>
      </c>
      <c r="L14" s="9" t="s">
        <v>38</v>
      </c>
    </row>
    <row r="15" spans="1:12" x14ac:dyDescent="0.35">
      <c r="A15" s="16">
        <v>100006</v>
      </c>
      <c r="B15" s="10">
        <v>46040</v>
      </c>
      <c r="C15" s="9">
        <v>1</v>
      </c>
      <c r="D15" s="9">
        <v>342100</v>
      </c>
      <c r="E15" t="s">
        <v>28</v>
      </c>
      <c r="F15" t="s">
        <v>12</v>
      </c>
      <c r="G15">
        <v>72000</v>
      </c>
      <c r="H15" t="s">
        <v>13</v>
      </c>
      <c r="I15" s="9">
        <v>72000</v>
      </c>
      <c r="J15" s="9" t="s">
        <v>13</v>
      </c>
      <c r="K15" s="9">
        <v>50</v>
      </c>
      <c r="L15" s="9" t="s">
        <v>39</v>
      </c>
    </row>
    <row r="16" spans="1:12" x14ac:dyDescent="0.35">
      <c r="A16" s="16">
        <v>100006</v>
      </c>
      <c r="B16" s="10">
        <v>46040</v>
      </c>
      <c r="C16" s="9">
        <v>1</v>
      </c>
      <c r="D16" s="9">
        <v>514100</v>
      </c>
      <c r="E16" t="s">
        <v>15</v>
      </c>
      <c r="F16" t="s">
        <v>12</v>
      </c>
      <c r="G16">
        <v>72000</v>
      </c>
      <c r="H16" t="s">
        <v>13</v>
      </c>
      <c r="I16" s="9">
        <v>72000</v>
      </c>
      <c r="J16" s="9" t="s">
        <v>13</v>
      </c>
      <c r="K16" s="9">
        <v>40</v>
      </c>
      <c r="L16" s="9" t="s">
        <v>40</v>
      </c>
    </row>
    <row r="17" spans="1:12" x14ac:dyDescent="0.35">
      <c r="A17" s="16">
        <v>100007</v>
      </c>
      <c r="B17" s="10">
        <v>46041</v>
      </c>
      <c r="C17" s="9">
        <v>1</v>
      </c>
      <c r="D17" s="9">
        <v>441100</v>
      </c>
      <c r="E17" t="s">
        <v>19</v>
      </c>
      <c r="F17" t="s">
        <v>12</v>
      </c>
      <c r="G17">
        <v>42000</v>
      </c>
      <c r="H17" t="s">
        <v>13</v>
      </c>
      <c r="I17" s="9">
        <v>42000</v>
      </c>
      <c r="J17" s="9" t="s">
        <v>13</v>
      </c>
      <c r="K17" s="9">
        <v>40</v>
      </c>
      <c r="L17" s="9" t="s">
        <v>41</v>
      </c>
    </row>
    <row r="18" spans="1:12" x14ac:dyDescent="0.35">
      <c r="A18" s="16">
        <v>100007</v>
      </c>
      <c r="B18" s="10">
        <v>46041</v>
      </c>
      <c r="C18" s="9">
        <v>1</v>
      </c>
      <c r="D18" s="9">
        <v>514100</v>
      </c>
      <c r="E18" t="s">
        <v>15</v>
      </c>
      <c r="F18" t="s">
        <v>12</v>
      </c>
      <c r="G18">
        <v>42000</v>
      </c>
      <c r="H18" t="s">
        <v>13</v>
      </c>
      <c r="I18" s="9">
        <v>42000</v>
      </c>
      <c r="J18" s="9" t="s">
        <v>13</v>
      </c>
      <c r="K18" s="9">
        <v>50</v>
      </c>
      <c r="L18" s="9" t="s">
        <v>42</v>
      </c>
    </row>
    <row r="19" spans="1:12" x14ac:dyDescent="0.35">
      <c r="A19" s="16">
        <v>100008</v>
      </c>
      <c r="B19" s="10">
        <v>46042</v>
      </c>
      <c r="C19" s="9">
        <v>1</v>
      </c>
      <c r="D19" s="9">
        <v>514100</v>
      </c>
      <c r="E19" t="s">
        <v>15</v>
      </c>
      <c r="F19" t="s">
        <v>12</v>
      </c>
      <c r="G19">
        <v>36000</v>
      </c>
      <c r="H19" t="s">
        <v>13</v>
      </c>
      <c r="I19" s="9">
        <v>36000</v>
      </c>
      <c r="J19" s="9" t="s">
        <v>13</v>
      </c>
      <c r="K19" s="9">
        <v>50</v>
      </c>
      <c r="L19" s="9" t="s">
        <v>43</v>
      </c>
    </row>
    <row r="20" spans="1:12" x14ac:dyDescent="0.35">
      <c r="A20" s="16">
        <v>100008</v>
      </c>
      <c r="B20" s="10">
        <v>46042</v>
      </c>
      <c r="C20" s="9">
        <v>1</v>
      </c>
      <c r="D20" s="9">
        <v>617100</v>
      </c>
      <c r="E20" t="s">
        <v>44</v>
      </c>
      <c r="F20" t="s">
        <v>45</v>
      </c>
      <c r="G20">
        <v>36000</v>
      </c>
      <c r="H20" t="s">
        <v>13</v>
      </c>
      <c r="I20" s="9">
        <v>36000</v>
      </c>
      <c r="J20" s="9" t="s">
        <v>13</v>
      </c>
      <c r="K20" s="9">
        <v>40</v>
      </c>
      <c r="L20" s="9" t="s">
        <v>46</v>
      </c>
    </row>
    <row r="21" spans="1:12" x14ac:dyDescent="0.35">
      <c r="A21" s="16">
        <v>100009</v>
      </c>
      <c r="B21" s="10">
        <v>46043</v>
      </c>
      <c r="C21" s="9">
        <v>1</v>
      </c>
      <c r="D21" s="9">
        <v>514100</v>
      </c>
      <c r="E21" t="s">
        <v>15</v>
      </c>
      <c r="F21" t="s">
        <v>12</v>
      </c>
      <c r="G21">
        <v>9500</v>
      </c>
      <c r="H21" t="s">
        <v>13</v>
      </c>
      <c r="I21" s="9">
        <v>9500</v>
      </c>
      <c r="J21" s="9" t="s">
        <v>13</v>
      </c>
      <c r="K21" s="9">
        <v>50</v>
      </c>
      <c r="L21" s="9" t="s">
        <v>47</v>
      </c>
    </row>
    <row r="22" spans="1:12" x14ac:dyDescent="0.35">
      <c r="A22" s="16">
        <v>100009</v>
      </c>
      <c r="B22" s="10">
        <v>46043</v>
      </c>
      <c r="C22" s="9">
        <v>1</v>
      </c>
      <c r="D22" s="9">
        <v>613100</v>
      </c>
      <c r="E22" t="s">
        <v>48</v>
      </c>
      <c r="F22" t="s">
        <v>45</v>
      </c>
      <c r="G22">
        <v>9500</v>
      </c>
      <c r="H22" t="s">
        <v>13</v>
      </c>
      <c r="I22" s="9">
        <v>9500</v>
      </c>
      <c r="J22" s="9" t="s">
        <v>13</v>
      </c>
      <c r="K22" s="9">
        <v>40</v>
      </c>
      <c r="L22" s="9" t="s">
        <v>49</v>
      </c>
    </row>
    <row r="23" spans="1:12" x14ac:dyDescent="0.35">
      <c r="A23" s="16">
        <v>100010</v>
      </c>
      <c r="B23" s="10">
        <v>46044</v>
      </c>
      <c r="C23" s="9">
        <v>1</v>
      </c>
      <c r="D23" s="9">
        <v>514100</v>
      </c>
      <c r="E23" t="s">
        <v>15</v>
      </c>
      <c r="F23" t="s">
        <v>12</v>
      </c>
      <c r="G23">
        <v>6200</v>
      </c>
      <c r="H23" t="s">
        <v>13</v>
      </c>
      <c r="I23" s="9">
        <v>6200</v>
      </c>
      <c r="J23" s="9" t="s">
        <v>13</v>
      </c>
      <c r="K23" s="9">
        <v>50</v>
      </c>
      <c r="L23" s="9" t="s">
        <v>50</v>
      </c>
    </row>
    <row r="24" spans="1:12" x14ac:dyDescent="0.35">
      <c r="A24" s="16">
        <v>100010</v>
      </c>
      <c r="B24" s="10">
        <v>46044</v>
      </c>
      <c r="C24" s="9">
        <v>1</v>
      </c>
      <c r="D24" s="9">
        <v>614100</v>
      </c>
      <c r="E24" t="s">
        <v>51</v>
      </c>
      <c r="F24" t="s">
        <v>22</v>
      </c>
      <c r="G24">
        <v>6200</v>
      </c>
      <c r="H24" t="s">
        <v>13</v>
      </c>
      <c r="I24" s="9">
        <v>6200</v>
      </c>
      <c r="J24" s="9" t="s">
        <v>13</v>
      </c>
      <c r="K24" s="9">
        <v>40</v>
      </c>
      <c r="L24" s="9" t="s">
        <v>52</v>
      </c>
    </row>
    <row r="25" spans="1:12" x14ac:dyDescent="0.35">
      <c r="A25" s="16">
        <v>100011</v>
      </c>
      <c r="B25" s="10">
        <v>46045</v>
      </c>
      <c r="C25" s="9">
        <v>1</v>
      </c>
      <c r="D25" s="9">
        <v>514100</v>
      </c>
      <c r="E25" t="s">
        <v>15</v>
      </c>
      <c r="F25" t="s">
        <v>12</v>
      </c>
      <c r="G25">
        <v>4500</v>
      </c>
      <c r="H25" t="s">
        <v>13</v>
      </c>
      <c r="I25" s="9">
        <v>4500</v>
      </c>
      <c r="J25" s="9" t="s">
        <v>13</v>
      </c>
      <c r="K25" s="9">
        <v>50</v>
      </c>
      <c r="L25" s="9" t="s">
        <v>53</v>
      </c>
    </row>
    <row r="26" spans="1:12" x14ac:dyDescent="0.35">
      <c r="A26" s="16">
        <v>100011</v>
      </c>
      <c r="B26" s="10">
        <v>46045</v>
      </c>
      <c r="C26" s="9">
        <v>1</v>
      </c>
      <c r="D26" s="9">
        <v>618100</v>
      </c>
      <c r="E26" t="s">
        <v>54</v>
      </c>
      <c r="F26" t="s">
        <v>55</v>
      </c>
      <c r="G26">
        <v>4500</v>
      </c>
      <c r="H26" t="s">
        <v>13</v>
      </c>
      <c r="I26" s="9">
        <v>4500</v>
      </c>
      <c r="J26" s="9" t="s">
        <v>13</v>
      </c>
      <c r="K26" s="9">
        <v>40</v>
      </c>
      <c r="L26" s="9" t="s">
        <v>56</v>
      </c>
    </row>
    <row r="27" spans="1:12" x14ac:dyDescent="0.35">
      <c r="A27" s="16">
        <v>100012</v>
      </c>
      <c r="B27" s="10">
        <v>46049</v>
      </c>
      <c r="C27" s="9">
        <v>1</v>
      </c>
      <c r="D27" s="9">
        <v>311100</v>
      </c>
      <c r="E27" t="s">
        <v>57</v>
      </c>
      <c r="F27" t="s">
        <v>12</v>
      </c>
      <c r="G27">
        <v>7000</v>
      </c>
      <c r="H27" t="s">
        <v>13</v>
      </c>
      <c r="I27" s="9">
        <v>7000</v>
      </c>
      <c r="J27" s="9" t="s">
        <v>13</v>
      </c>
      <c r="K27" s="9">
        <v>40</v>
      </c>
      <c r="L27" s="9" t="s">
        <v>58</v>
      </c>
    </row>
    <row r="28" spans="1:12" x14ac:dyDescent="0.35">
      <c r="A28" s="16">
        <v>100012</v>
      </c>
      <c r="B28" s="10">
        <v>46049</v>
      </c>
      <c r="C28" s="9">
        <v>1</v>
      </c>
      <c r="D28" s="9">
        <v>611100</v>
      </c>
      <c r="E28" t="s">
        <v>21</v>
      </c>
      <c r="F28" t="s">
        <v>22</v>
      </c>
      <c r="G28">
        <v>7000</v>
      </c>
      <c r="H28" t="s">
        <v>13</v>
      </c>
      <c r="I28" s="9">
        <v>7000</v>
      </c>
      <c r="J28" s="9" t="s">
        <v>13</v>
      </c>
      <c r="K28" s="9">
        <v>50</v>
      </c>
      <c r="L28" s="9" t="s">
        <v>59</v>
      </c>
    </row>
    <row r="29" spans="1:12" x14ac:dyDescent="0.35">
      <c r="A29" s="16">
        <v>100013</v>
      </c>
      <c r="B29" s="10">
        <v>46050</v>
      </c>
      <c r="C29" s="9">
        <v>1</v>
      </c>
      <c r="D29" s="9">
        <v>514100</v>
      </c>
      <c r="E29" t="s">
        <v>15</v>
      </c>
      <c r="F29" t="s">
        <v>12</v>
      </c>
      <c r="G29">
        <v>6500</v>
      </c>
      <c r="H29" t="s">
        <v>13</v>
      </c>
      <c r="I29" s="9">
        <v>6500</v>
      </c>
      <c r="J29" s="9" t="s">
        <v>13</v>
      </c>
      <c r="K29" s="9">
        <v>50</v>
      </c>
      <c r="L29" s="9" t="s">
        <v>60</v>
      </c>
    </row>
    <row r="30" spans="1:12" x14ac:dyDescent="0.35">
      <c r="A30" s="16">
        <v>100013</v>
      </c>
      <c r="B30" s="10">
        <v>46050</v>
      </c>
      <c r="C30" s="9">
        <v>1</v>
      </c>
      <c r="D30" s="9">
        <v>619100</v>
      </c>
      <c r="E30" t="s">
        <v>61</v>
      </c>
      <c r="F30" t="s">
        <v>55</v>
      </c>
      <c r="G30">
        <v>6500</v>
      </c>
      <c r="H30" t="s">
        <v>13</v>
      </c>
      <c r="I30" s="9">
        <v>6500</v>
      </c>
      <c r="J30" s="9" t="s">
        <v>13</v>
      </c>
      <c r="K30" s="9">
        <v>40</v>
      </c>
      <c r="L30" s="9" t="s">
        <v>62</v>
      </c>
    </row>
    <row r="31" spans="1:12" x14ac:dyDescent="0.35">
      <c r="A31" s="16">
        <v>100014</v>
      </c>
      <c r="B31" s="10">
        <v>46058</v>
      </c>
      <c r="C31" s="9">
        <v>2</v>
      </c>
      <c r="D31" s="9">
        <v>345500</v>
      </c>
      <c r="E31" t="s">
        <v>17</v>
      </c>
      <c r="F31" t="s">
        <v>12</v>
      </c>
      <c r="G31">
        <v>13600</v>
      </c>
      <c r="H31" t="s">
        <v>13</v>
      </c>
      <c r="I31" s="9">
        <v>13600</v>
      </c>
      <c r="J31" s="9" t="s">
        <v>13</v>
      </c>
      <c r="K31" s="9">
        <v>40</v>
      </c>
      <c r="L31" s="9" t="s">
        <v>18</v>
      </c>
    </row>
    <row r="32" spans="1:12" x14ac:dyDescent="0.35">
      <c r="A32" s="16">
        <v>100014</v>
      </c>
      <c r="B32" s="10">
        <v>46058</v>
      </c>
      <c r="C32" s="9">
        <v>2</v>
      </c>
      <c r="D32" s="9">
        <v>441100</v>
      </c>
      <c r="E32" t="s">
        <v>19</v>
      </c>
      <c r="F32" t="s">
        <v>12</v>
      </c>
      <c r="G32">
        <v>81600</v>
      </c>
      <c r="H32" t="s">
        <v>13</v>
      </c>
      <c r="I32" s="9">
        <v>81600</v>
      </c>
      <c r="J32" s="9" t="s">
        <v>13</v>
      </c>
      <c r="K32" s="9">
        <v>50</v>
      </c>
      <c r="L32" s="9" t="s">
        <v>20</v>
      </c>
    </row>
    <row r="33" spans="1:12" x14ac:dyDescent="0.35">
      <c r="A33" s="16">
        <v>100014</v>
      </c>
      <c r="B33" s="10">
        <v>46058</v>
      </c>
      <c r="C33" s="9">
        <v>2</v>
      </c>
      <c r="D33" s="9">
        <v>611100</v>
      </c>
      <c r="E33" t="s">
        <v>21</v>
      </c>
      <c r="F33" t="s">
        <v>22</v>
      </c>
      <c r="G33">
        <v>68000</v>
      </c>
      <c r="H33" t="s">
        <v>13</v>
      </c>
      <c r="I33" s="9">
        <v>68000</v>
      </c>
      <c r="J33" s="9" t="s">
        <v>13</v>
      </c>
      <c r="K33" s="9">
        <v>40</v>
      </c>
      <c r="L33" s="9" t="s">
        <v>23</v>
      </c>
    </row>
    <row r="34" spans="1:12" x14ac:dyDescent="0.35">
      <c r="A34" s="16">
        <v>100015</v>
      </c>
      <c r="B34" s="10">
        <v>46061</v>
      </c>
      <c r="C34" s="9">
        <v>2</v>
      </c>
      <c r="D34" s="9">
        <v>345500</v>
      </c>
      <c r="E34" t="s">
        <v>17</v>
      </c>
      <c r="F34" t="s">
        <v>12</v>
      </c>
      <c r="G34">
        <v>8790.4</v>
      </c>
      <c r="H34" t="s">
        <v>13</v>
      </c>
      <c r="I34" s="9">
        <v>8790.4</v>
      </c>
      <c r="J34" s="9" t="s">
        <v>13</v>
      </c>
      <c r="K34" s="9">
        <v>40</v>
      </c>
      <c r="L34" s="9" t="s">
        <v>24</v>
      </c>
    </row>
    <row r="35" spans="1:12" x14ac:dyDescent="0.35">
      <c r="A35" s="16">
        <v>100015</v>
      </c>
      <c r="B35" s="10">
        <v>46061</v>
      </c>
      <c r="C35" s="9">
        <v>2</v>
      </c>
      <c r="D35" s="9">
        <v>441100</v>
      </c>
      <c r="E35" t="s">
        <v>19</v>
      </c>
      <c r="F35" t="s">
        <v>12</v>
      </c>
      <c r="G35">
        <v>52742.400000000001</v>
      </c>
      <c r="H35" t="s">
        <v>13</v>
      </c>
      <c r="I35" s="9">
        <v>52742.400000000001</v>
      </c>
      <c r="J35" s="9" t="s">
        <v>13</v>
      </c>
      <c r="K35" s="9">
        <v>50</v>
      </c>
      <c r="L35" s="9" t="s">
        <v>25</v>
      </c>
    </row>
    <row r="36" spans="1:12" x14ac:dyDescent="0.35">
      <c r="A36" s="16">
        <v>100015</v>
      </c>
      <c r="B36" s="10">
        <v>46061</v>
      </c>
      <c r="C36" s="9">
        <v>2</v>
      </c>
      <c r="D36" s="9">
        <v>611100</v>
      </c>
      <c r="E36" t="s">
        <v>21</v>
      </c>
      <c r="F36" t="s">
        <v>22</v>
      </c>
      <c r="G36">
        <v>4100</v>
      </c>
      <c r="H36" t="s">
        <v>26</v>
      </c>
      <c r="I36" s="9">
        <v>43952</v>
      </c>
      <c r="J36" s="9" t="s">
        <v>13</v>
      </c>
      <c r="K36" s="9">
        <v>40</v>
      </c>
      <c r="L36" s="9" t="s">
        <v>27</v>
      </c>
    </row>
    <row r="37" spans="1:12" x14ac:dyDescent="0.35">
      <c r="A37" s="16">
        <v>100016</v>
      </c>
      <c r="B37" s="10">
        <v>46063</v>
      </c>
      <c r="C37" s="9">
        <v>2</v>
      </c>
      <c r="D37" s="9">
        <v>342100</v>
      </c>
      <c r="E37" t="s">
        <v>28</v>
      </c>
      <c r="F37" t="s">
        <v>12</v>
      </c>
      <c r="G37">
        <v>110400</v>
      </c>
      <c r="H37" t="s">
        <v>13</v>
      </c>
      <c r="I37" s="9">
        <v>110400</v>
      </c>
      <c r="J37" s="9" t="s">
        <v>13</v>
      </c>
      <c r="K37" s="9">
        <v>40</v>
      </c>
      <c r="L37" s="9" t="s">
        <v>29</v>
      </c>
    </row>
    <row r="38" spans="1:12" x14ac:dyDescent="0.35">
      <c r="A38" s="16">
        <v>100016</v>
      </c>
      <c r="B38" s="10">
        <v>46063</v>
      </c>
      <c r="C38" s="9">
        <v>2</v>
      </c>
      <c r="D38" s="9">
        <v>445500</v>
      </c>
      <c r="E38" t="s">
        <v>30</v>
      </c>
      <c r="F38" t="s">
        <v>12</v>
      </c>
      <c r="G38">
        <v>18400</v>
      </c>
      <c r="H38" t="s">
        <v>13</v>
      </c>
      <c r="I38" s="9">
        <v>18400</v>
      </c>
      <c r="J38" s="9" t="s">
        <v>13</v>
      </c>
      <c r="K38" s="9">
        <v>50</v>
      </c>
      <c r="L38" s="9" t="s">
        <v>31</v>
      </c>
    </row>
    <row r="39" spans="1:12" x14ac:dyDescent="0.35">
      <c r="A39" s="16">
        <v>100016</v>
      </c>
      <c r="B39" s="10">
        <v>46063</v>
      </c>
      <c r="C39" s="9">
        <v>2</v>
      </c>
      <c r="D39" s="9">
        <v>711100</v>
      </c>
      <c r="E39" t="s">
        <v>32</v>
      </c>
      <c r="F39" t="s">
        <v>33</v>
      </c>
      <c r="G39">
        <v>92000</v>
      </c>
      <c r="H39" t="s">
        <v>13</v>
      </c>
      <c r="I39" s="9">
        <v>92000</v>
      </c>
      <c r="J39" s="9" t="s">
        <v>13</v>
      </c>
      <c r="K39" s="9">
        <v>50</v>
      </c>
      <c r="L39" s="9" t="s">
        <v>34</v>
      </c>
    </row>
    <row r="40" spans="1:12" x14ac:dyDescent="0.35">
      <c r="A40" s="16">
        <v>100017</v>
      </c>
      <c r="B40" s="10">
        <v>46068</v>
      </c>
      <c r="C40" s="9">
        <v>2</v>
      </c>
      <c r="D40" s="9">
        <v>342100</v>
      </c>
      <c r="E40" t="s">
        <v>28</v>
      </c>
      <c r="F40" t="s">
        <v>12</v>
      </c>
      <c r="G40">
        <v>5100</v>
      </c>
      <c r="H40" t="s">
        <v>35</v>
      </c>
      <c r="I40" s="9">
        <v>50082</v>
      </c>
      <c r="J40" s="9" t="s">
        <v>13</v>
      </c>
      <c r="K40" s="9">
        <v>40</v>
      </c>
      <c r="L40" s="9" t="s">
        <v>36</v>
      </c>
    </row>
    <row r="41" spans="1:12" x14ac:dyDescent="0.35">
      <c r="A41" s="16">
        <v>100017</v>
      </c>
      <c r="B41" s="10">
        <v>46068</v>
      </c>
      <c r="C41" s="9">
        <v>2</v>
      </c>
      <c r="D41" s="9">
        <v>712100</v>
      </c>
      <c r="E41" t="s">
        <v>37</v>
      </c>
      <c r="F41" t="s">
        <v>33</v>
      </c>
      <c r="G41">
        <v>5100</v>
      </c>
      <c r="H41" t="s">
        <v>35</v>
      </c>
      <c r="I41" s="9">
        <v>50082</v>
      </c>
      <c r="J41" s="9" t="s">
        <v>13</v>
      </c>
      <c r="K41" s="9">
        <v>50</v>
      </c>
      <c r="L41" s="9" t="s">
        <v>38</v>
      </c>
    </row>
    <row r="42" spans="1:12" x14ac:dyDescent="0.35">
      <c r="A42" s="16">
        <v>100018</v>
      </c>
      <c r="B42" s="10">
        <v>46071</v>
      </c>
      <c r="C42" s="9">
        <v>2</v>
      </c>
      <c r="D42" s="9">
        <v>342100</v>
      </c>
      <c r="E42" t="s">
        <v>28</v>
      </c>
      <c r="F42" t="s">
        <v>12</v>
      </c>
      <c r="G42">
        <v>80000</v>
      </c>
      <c r="H42" t="s">
        <v>13</v>
      </c>
      <c r="I42" s="9">
        <v>80000</v>
      </c>
      <c r="J42" s="9" t="s">
        <v>13</v>
      </c>
      <c r="K42" s="9">
        <v>50</v>
      </c>
      <c r="L42" s="9" t="s">
        <v>39</v>
      </c>
    </row>
    <row r="43" spans="1:12" x14ac:dyDescent="0.35">
      <c r="A43" s="16">
        <v>100018</v>
      </c>
      <c r="B43" s="10">
        <v>46071</v>
      </c>
      <c r="C43" s="9">
        <v>2</v>
      </c>
      <c r="D43" s="9">
        <v>514100</v>
      </c>
      <c r="E43" t="s">
        <v>15</v>
      </c>
      <c r="F43" t="s">
        <v>12</v>
      </c>
      <c r="G43">
        <v>80000</v>
      </c>
      <c r="H43" t="s">
        <v>13</v>
      </c>
      <c r="I43" s="9">
        <v>80000</v>
      </c>
      <c r="J43" s="9" t="s">
        <v>13</v>
      </c>
      <c r="K43" s="9">
        <v>40</v>
      </c>
      <c r="L43" s="9" t="s">
        <v>40</v>
      </c>
    </row>
    <row r="44" spans="1:12" x14ac:dyDescent="0.35">
      <c r="A44" s="16">
        <v>100019</v>
      </c>
      <c r="B44" s="10">
        <v>46072</v>
      </c>
      <c r="C44" s="9">
        <v>2</v>
      </c>
      <c r="D44" s="9">
        <v>441100</v>
      </c>
      <c r="E44" t="s">
        <v>19</v>
      </c>
      <c r="F44" t="s">
        <v>12</v>
      </c>
      <c r="G44">
        <v>56000</v>
      </c>
      <c r="H44" t="s">
        <v>13</v>
      </c>
      <c r="I44" s="9">
        <v>56000</v>
      </c>
      <c r="J44" s="9" t="s">
        <v>13</v>
      </c>
      <c r="K44" s="9">
        <v>40</v>
      </c>
      <c r="L44" s="9" t="s">
        <v>41</v>
      </c>
    </row>
    <row r="45" spans="1:12" x14ac:dyDescent="0.35">
      <c r="A45" s="16">
        <v>100019</v>
      </c>
      <c r="B45" s="10">
        <v>46072</v>
      </c>
      <c r="C45" s="9">
        <v>2</v>
      </c>
      <c r="D45" s="9">
        <v>514100</v>
      </c>
      <c r="E45" t="s">
        <v>15</v>
      </c>
      <c r="F45" t="s">
        <v>12</v>
      </c>
      <c r="G45">
        <v>56000</v>
      </c>
      <c r="H45" t="s">
        <v>13</v>
      </c>
      <c r="I45" s="9">
        <v>56000</v>
      </c>
      <c r="J45" s="9" t="s">
        <v>13</v>
      </c>
      <c r="K45" s="9">
        <v>50</v>
      </c>
      <c r="L45" s="9" t="s">
        <v>42</v>
      </c>
    </row>
    <row r="46" spans="1:12" x14ac:dyDescent="0.35">
      <c r="A46" s="16">
        <v>100020</v>
      </c>
      <c r="B46" s="10">
        <v>46073</v>
      </c>
      <c r="C46" s="9">
        <v>2</v>
      </c>
      <c r="D46" s="9">
        <v>514100</v>
      </c>
      <c r="E46" t="s">
        <v>15</v>
      </c>
      <c r="F46" t="s">
        <v>12</v>
      </c>
      <c r="G46">
        <v>36500</v>
      </c>
      <c r="H46" t="s">
        <v>13</v>
      </c>
      <c r="I46" s="9">
        <v>36500</v>
      </c>
      <c r="J46" s="9" t="s">
        <v>13</v>
      </c>
      <c r="K46" s="9">
        <v>50</v>
      </c>
      <c r="L46" s="9" t="s">
        <v>43</v>
      </c>
    </row>
    <row r="47" spans="1:12" x14ac:dyDescent="0.35">
      <c r="A47" s="16">
        <v>100020</v>
      </c>
      <c r="B47" s="10">
        <v>46073</v>
      </c>
      <c r="C47" s="9">
        <v>2</v>
      </c>
      <c r="D47" s="9">
        <v>617100</v>
      </c>
      <c r="E47" t="s">
        <v>44</v>
      </c>
      <c r="F47" t="s">
        <v>45</v>
      </c>
      <c r="G47">
        <v>36500</v>
      </c>
      <c r="H47" t="s">
        <v>13</v>
      </c>
      <c r="I47" s="9">
        <v>36500</v>
      </c>
      <c r="J47" s="9" t="s">
        <v>13</v>
      </c>
      <c r="K47" s="9">
        <v>40</v>
      </c>
      <c r="L47" s="9" t="s">
        <v>46</v>
      </c>
    </row>
    <row r="48" spans="1:12" x14ac:dyDescent="0.35">
      <c r="A48" s="16">
        <v>100021</v>
      </c>
      <c r="B48" s="10">
        <v>46074</v>
      </c>
      <c r="C48" s="9">
        <v>2</v>
      </c>
      <c r="D48" s="9">
        <v>514100</v>
      </c>
      <c r="E48" t="s">
        <v>15</v>
      </c>
      <c r="F48" t="s">
        <v>12</v>
      </c>
      <c r="G48">
        <v>9500</v>
      </c>
      <c r="H48" t="s">
        <v>13</v>
      </c>
      <c r="I48" s="9">
        <v>9500</v>
      </c>
      <c r="J48" s="9" t="s">
        <v>13</v>
      </c>
      <c r="K48" s="9">
        <v>50</v>
      </c>
      <c r="L48" s="9" t="s">
        <v>47</v>
      </c>
    </row>
    <row r="49" spans="1:12" x14ac:dyDescent="0.35">
      <c r="A49" s="16">
        <v>100021</v>
      </c>
      <c r="B49" s="10">
        <v>46074</v>
      </c>
      <c r="C49" s="9">
        <v>2</v>
      </c>
      <c r="D49" s="9">
        <v>613100</v>
      </c>
      <c r="E49" t="s">
        <v>48</v>
      </c>
      <c r="F49" t="s">
        <v>45</v>
      </c>
      <c r="G49">
        <v>9500</v>
      </c>
      <c r="H49" t="s">
        <v>13</v>
      </c>
      <c r="I49" s="9">
        <v>9500</v>
      </c>
      <c r="J49" s="9" t="s">
        <v>13</v>
      </c>
      <c r="K49" s="9">
        <v>40</v>
      </c>
      <c r="L49" s="9" t="s">
        <v>49</v>
      </c>
    </row>
    <row r="50" spans="1:12" x14ac:dyDescent="0.35">
      <c r="A50" s="16">
        <v>100022</v>
      </c>
      <c r="B50" s="10">
        <v>46075</v>
      </c>
      <c r="C50" s="9">
        <v>2</v>
      </c>
      <c r="D50" s="9">
        <v>514100</v>
      </c>
      <c r="E50" t="s">
        <v>15</v>
      </c>
      <c r="F50" t="s">
        <v>12</v>
      </c>
      <c r="G50">
        <v>7100</v>
      </c>
      <c r="H50" t="s">
        <v>13</v>
      </c>
      <c r="I50" s="9">
        <v>7100</v>
      </c>
      <c r="J50" s="9" t="s">
        <v>13</v>
      </c>
      <c r="K50" s="9">
        <v>50</v>
      </c>
      <c r="L50" s="9" t="s">
        <v>50</v>
      </c>
    </row>
    <row r="51" spans="1:12" x14ac:dyDescent="0.35">
      <c r="A51" s="16">
        <v>100022</v>
      </c>
      <c r="B51" s="10">
        <v>46075</v>
      </c>
      <c r="C51" s="9">
        <v>2</v>
      </c>
      <c r="D51" s="9">
        <v>614100</v>
      </c>
      <c r="E51" t="s">
        <v>51</v>
      </c>
      <c r="F51" t="s">
        <v>22</v>
      </c>
      <c r="G51">
        <v>7100</v>
      </c>
      <c r="H51" t="s">
        <v>13</v>
      </c>
      <c r="I51" s="9">
        <v>7100</v>
      </c>
      <c r="J51" s="9" t="s">
        <v>13</v>
      </c>
      <c r="K51" s="9">
        <v>40</v>
      </c>
      <c r="L51" s="9" t="s">
        <v>52</v>
      </c>
    </row>
    <row r="52" spans="1:12" x14ac:dyDescent="0.35">
      <c r="A52" s="16">
        <v>100023</v>
      </c>
      <c r="B52" s="10">
        <v>46076</v>
      </c>
      <c r="C52" s="9">
        <v>2</v>
      </c>
      <c r="D52" s="9">
        <v>514100</v>
      </c>
      <c r="E52" t="s">
        <v>15</v>
      </c>
      <c r="F52" t="s">
        <v>12</v>
      </c>
      <c r="G52">
        <v>5200</v>
      </c>
      <c r="H52" t="s">
        <v>13</v>
      </c>
      <c r="I52" s="9">
        <v>5200</v>
      </c>
      <c r="J52" s="9" t="s">
        <v>13</v>
      </c>
      <c r="K52" s="9">
        <v>50</v>
      </c>
      <c r="L52" s="9" t="s">
        <v>53</v>
      </c>
    </row>
    <row r="53" spans="1:12" x14ac:dyDescent="0.35">
      <c r="A53" s="16">
        <v>100023</v>
      </c>
      <c r="B53" s="10">
        <v>46076</v>
      </c>
      <c r="C53" s="9">
        <v>2</v>
      </c>
      <c r="D53" s="9">
        <v>618100</v>
      </c>
      <c r="E53" t="s">
        <v>54</v>
      </c>
      <c r="F53" t="s">
        <v>55</v>
      </c>
      <c r="G53">
        <v>5200</v>
      </c>
      <c r="H53" t="s">
        <v>13</v>
      </c>
      <c r="I53" s="9">
        <v>5200</v>
      </c>
      <c r="J53" s="9" t="s">
        <v>13</v>
      </c>
      <c r="K53" s="9">
        <v>40</v>
      </c>
      <c r="L53" s="9" t="s">
        <v>56</v>
      </c>
    </row>
    <row r="54" spans="1:12" x14ac:dyDescent="0.35">
      <c r="A54" s="16">
        <v>100024</v>
      </c>
      <c r="B54" s="10">
        <v>46080</v>
      </c>
      <c r="C54" s="9">
        <v>2</v>
      </c>
      <c r="D54" s="9">
        <v>311100</v>
      </c>
      <c r="E54" t="s">
        <v>57</v>
      </c>
      <c r="F54" t="s">
        <v>12</v>
      </c>
      <c r="G54">
        <v>9000</v>
      </c>
      <c r="H54" t="s">
        <v>13</v>
      </c>
      <c r="I54" s="9">
        <v>9000</v>
      </c>
      <c r="J54" s="9" t="s">
        <v>13</v>
      </c>
      <c r="K54" s="9">
        <v>40</v>
      </c>
      <c r="L54" s="9" t="s">
        <v>58</v>
      </c>
    </row>
    <row r="55" spans="1:12" x14ac:dyDescent="0.35">
      <c r="A55" s="16">
        <v>100024</v>
      </c>
      <c r="B55" s="10">
        <v>46080</v>
      </c>
      <c r="C55" s="9">
        <v>2</v>
      </c>
      <c r="D55" s="9">
        <v>611100</v>
      </c>
      <c r="E55" t="s">
        <v>21</v>
      </c>
      <c r="F55" t="s">
        <v>22</v>
      </c>
      <c r="G55">
        <v>9000</v>
      </c>
      <c r="H55" t="s">
        <v>13</v>
      </c>
      <c r="I55" s="9">
        <v>9000</v>
      </c>
      <c r="J55" s="9" t="s">
        <v>13</v>
      </c>
      <c r="K55" s="9">
        <v>50</v>
      </c>
      <c r="L55" s="9" t="s">
        <v>59</v>
      </c>
    </row>
    <row r="56" spans="1:12" x14ac:dyDescent="0.35">
      <c r="A56" s="16">
        <v>100025</v>
      </c>
      <c r="B56" s="10">
        <v>46081</v>
      </c>
      <c r="C56" s="9">
        <v>2</v>
      </c>
      <c r="D56" s="9">
        <v>514100</v>
      </c>
      <c r="E56" t="s">
        <v>15</v>
      </c>
      <c r="F56" t="s">
        <v>12</v>
      </c>
      <c r="G56">
        <v>6500</v>
      </c>
      <c r="H56" t="s">
        <v>13</v>
      </c>
      <c r="I56" s="9">
        <v>6500</v>
      </c>
      <c r="J56" s="9" t="s">
        <v>13</v>
      </c>
      <c r="K56" s="9">
        <v>50</v>
      </c>
      <c r="L56" s="9" t="s">
        <v>60</v>
      </c>
    </row>
    <row r="57" spans="1:12" x14ac:dyDescent="0.35">
      <c r="A57" s="16">
        <v>100025</v>
      </c>
      <c r="B57" s="10">
        <v>46081</v>
      </c>
      <c r="C57" s="9">
        <v>2</v>
      </c>
      <c r="D57" s="9">
        <v>619100</v>
      </c>
      <c r="E57" t="s">
        <v>61</v>
      </c>
      <c r="F57" t="s">
        <v>55</v>
      </c>
      <c r="G57">
        <v>6500</v>
      </c>
      <c r="H57" t="s">
        <v>13</v>
      </c>
      <c r="I57" s="9">
        <v>6500</v>
      </c>
      <c r="J57" s="9" t="s">
        <v>13</v>
      </c>
      <c r="K57" s="9">
        <v>40</v>
      </c>
      <c r="L57" s="9" t="s">
        <v>62</v>
      </c>
    </row>
    <row r="58" spans="1:12" x14ac:dyDescent="0.35">
      <c r="A58" s="16">
        <v>100026</v>
      </c>
      <c r="B58" s="10">
        <v>46086</v>
      </c>
      <c r="C58" s="9">
        <v>3</v>
      </c>
      <c r="D58" s="9">
        <v>345500</v>
      </c>
      <c r="E58" t="s">
        <v>17</v>
      </c>
      <c r="F58" t="s">
        <v>12</v>
      </c>
      <c r="G58">
        <v>9500</v>
      </c>
      <c r="H58" t="s">
        <v>13</v>
      </c>
      <c r="I58" s="9">
        <v>9500</v>
      </c>
      <c r="J58" s="9" t="s">
        <v>13</v>
      </c>
      <c r="K58" s="9">
        <v>40</v>
      </c>
      <c r="L58" s="9" t="s">
        <v>18</v>
      </c>
    </row>
    <row r="59" spans="1:12" x14ac:dyDescent="0.35">
      <c r="A59" s="16">
        <v>100026</v>
      </c>
      <c r="B59" s="10">
        <v>46086</v>
      </c>
      <c r="C59" s="9">
        <v>3</v>
      </c>
      <c r="D59" s="9">
        <v>441100</v>
      </c>
      <c r="E59" t="s">
        <v>19</v>
      </c>
      <c r="F59" t="s">
        <v>12</v>
      </c>
      <c r="G59">
        <v>57000</v>
      </c>
      <c r="H59" t="s">
        <v>13</v>
      </c>
      <c r="I59" s="9">
        <v>57000</v>
      </c>
      <c r="J59" s="9" t="s">
        <v>13</v>
      </c>
      <c r="K59" s="9">
        <v>50</v>
      </c>
      <c r="L59" s="9" t="s">
        <v>20</v>
      </c>
    </row>
    <row r="60" spans="1:12" x14ac:dyDescent="0.35">
      <c r="A60" s="16">
        <v>100026</v>
      </c>
      <c r="B60" s="10">
        <v>46086</v>
      </c>
      <c r="C60" s="9">
        <v>3</v>
      </c>
      <c r="D60" s="9">
        <v>611100</v>
      </c>
      <c r="E60" t="s">
        <v>21</v>
      </c>
      <c r="F60" t="s">
        <v>22</v>
      </c>
      <c r="G60">
        <v>47500</v>
      </c>
      <c r="H60" t="s">
        <v>13</v>
      </c>
      <c r="I60" s="9">
        <v>47500</v>
      </c>
      <c r="J60" s="9" t="s">
        <v>13</v>
      </c>
      <c r="K60" s="9">
        <v>40</v>
      </c>
      <c r="L60" s="9" t="s">
        <v>23</v>
      </c>
    </row>
    <row r="61" spans="1:12" x14ac:dyDescent="0.35">
      <c r="A61" s="16">
        <v>100027</v>
      </c>
      <c r="B61" s="10">
        <v>46089</v>
      </c>
      <c r="C61" s="9">
        <v>3</v>
      </c>
      <c r="D61" s="9">
        <v>345500</v>
      </c>
      <c r="E61" t="s">
        <v>17</v>
      </c>
      <c r="F61" t="s">
        <v>12</v>
      </c>
      <c r="G61">
        <v>6109.6</v>
      </c>
      <c r="H61" t="s">
        <v>13</v>
      </c>
      <c r="I61" s="9">
        <v>6109.6</v>
      </c>
      <c r="J61" s="9" t="s">
        <v>13</v>
      </c>
      <c r="K61" s="9">
        <v>40</v>
      </c>
      <c r="L61" s="9" t="s">
        <v>24</v>
      </c>
    </row>
    <row r="62" spans="1:12" x14ac:dyDescent="0.35">
      <c r="A62" s="16">
        <v>100027</v>
      </c>
      <c r="B62" s="10">
        <v>46089</v>
      </c>
      <c r="C62" s="9">
        <v>3</v>
      </c>
      <c r="D62" s="9">
        <v>441100</v>
      </c>
      <c r="E62" t="s">
        <v>19</v>
      </c>
      <c r="F62" t="s">
        <v>12</v>
      </c>
      <c r="G62">
        <v>36657.599999999999</v>
      </c>
      <c r="H62" t="s">
        <v>13</v>
      </c>
      <c r="I62" s="9">
        <v>36657.599999999999</v>
      </c>
      <c r="J62" s="9" t="s">
        <v>13</v>
      </c>
      <c r="K62" s="9">
        <v>50</v>
      </c>
      <c r="L62" s="9" t="s">
        <v>25</v>
      </c>
    </row>
    <row r="63" spans="1:12" x14ac:dyDescent="0.35">
      <c r="A63" s="16">
        <v>100027</v>
      </c>
      <c r="B63" s="10">
        <v>46089</v>
      </c>
      <c r="C63" s="9">
        <v>3</v>
      </c>
      <c r="D63" s="9">
        <v>611100</v>
      </c>
      <c r="E63" t="s">
        <v>21</v>
      </c>
      <c r="F63" t="s">
        <v>22</v>
      </c>
      <c r="G63">
        <v>2800</v>
      </c>
      <c r="H63" t="s">
        <v>26</v>
      </c>
      <c r="I63" s="9">
        <v>30548</v>
      </c>
      <c r="J63" s="9" t="s">
        <v>13</v>
      </c>
      <c r="K63" s="9">
        <v>40</v>
      </c>
      <c r="L63" s="9" t="s">
        <v>27</v>
      </c>
    </row>
    <row r="64" spans="1:12" x14ac:dyDescent="0.35">
      <c r="A64" s="16">
        <v>100028</v>
      </c>
      <c r="B64" s="10">
        <v>46091</v>
      </c>
      <c r="C64" s="9">
        <v>3</v>
      </c>
      <c r="D64" s="9">
        <v>342100</v>
      </c>
      <c r="E64" t="s">
        <v>28</v>
      </c>
      <c r="F64" t="s">
        <v>12</v>
      </c>
      <c r="G64">
        <v>126000</v>
      </c>
      <c r="H64" t="s">
        <v>13</v>
      </c>
      <c r="I64" s="9">
        <v>126000</v>
      </c>
      <c r="J64" s="9" t="s">
        <v>13</v>
      </c>
      <c r="K64" s="9">
        <v>40</v>
      </c>
      <c r="L64" s="9" t="s">
        <v>29</v>
      </c>
    </row>
    <row r="65" spans="1:12" x14ac:dyDescent="0.35">
      <c r="A65" s="16">
        <v>100028</v>
      </c>
      <c r="B65" s="10">
        <v>46091</v>
      </c>
      <c r="C65" s="9">
        <v>3</v>
      </c>
      <c r="D65" s="9">
        <v>445500</v>
      </c>
      <c r="E65" t="s">
        <v>30</v>
      </c>
      <c r="F65" t="s">
        <v>12</v>
      </c>
      <c r="G65">
        <v>21000</v>
      </c>
      <c r="H65" t="s">
        <v>13</v>
      </c>
      <c r="I65" s="9">
        <v>21000</v>
      </c>
      <c r="J65" s="9" t="s">
        <v>13</v>
      </c>
      <c r="K65" s="9">
        <v>50</v>
      </c>
      <c r="L65" s="9" t="s">
        <v>31</v>
      </c>
    </row>
    <row r="66" spans="1:12" x14ac:dyDescent="0.35">
      <c r="A66" s="16">
        <v>100028</v>
      </c>
      <c r="B66" s="10">
        <v>46091</v>
      </c>
      <c r="C66" s="9">
        <v>3</v>
      </c>
      <c r="D66" s="9">
        <v>711100</v>
      </c>
      <c r="E66" t="s">
        <v>32</v>
      </c>
      <c r="F66" t="s">
        <v>33</v>
      </c>
      <c r="G66">
        <v>105000</v>
      </c>
      <c r="H66" t="s">
        <v>13</v>
      </c>
      <c r="I66" s="9">
        <v>105000</v>
      </c>
      <c r="J66" s="9" t="s">
        <v>13</v>
      </c>
      <c r="K66" s="9">
        <v>50</v>
      </c>
      <c r="L66" s="9" t="s">
        <v>34</v>
      </c>
    </row>
    <row r="67" spans="1:12" x14ac:dyDescent="0.35">
      <c r="A67" s="16">
        <v>100029</v>
      </c>
      <c r="B67" s="10">
        <v>46096</v>
      </c>
      <c r="C67" s="9">
        <v>3</v>
      </c>
      <c r="D67" s="9">
        <v>342100</v>
      </c>
      <c r="E67" t="s">
        <v>28</v>
      </c>
      <c r="F67" t="s">
        <v>12</v>
      </c>
      <c r="G67">
        <v>3900</v>
      </c>
      <c r="H67" t="s">
        <v>35</v>
      </c>
      <c r="I67" s="9">
        <v>39195</v>
      </c>
      <c r="J67" s="9" t="s">
        <v>13</v>
      </c>
      <c r="K67" s="9">
        <v>40</v>
      </c>
      <c r="L67" s="9" t="s">
        <v>36</v>
      </c>
    </row>
    <row r="68" spans="1:12" x14ac:dyDescent="0.35">
      <c r="A68" s="16">
        <v>100029</v>
      </c>
      <c r="B68" s="10">
        <v>46096</v>
      </c>
      <c r="C68" s="9">
        <v>3</v>
      </c>
      <c r="D68" s="9">
        <v>712100</v>
      </c>
      <c r="E68" t="s">
        <v>37</v>
      </c>
      <c r="F68" t="s">
        <v>33</v>
      </c>
      <c r="G68">
        <v>3900</v>
      </c>
      <c r="H68" t="s">
        <v>35</v>
      </c>
      <c r="I68" s="9">
        <v>39195</v>
      </c>
      <c r="J68" s="9" t="s">
        <v>13</v>
      </c>
      <c r="K68" s="9">
        <v>50</v>
      </c>
      <c r="L68" s="9" t="s">
        <v>38</v>
      </c>
    </row>
    <row r="69" spans="1:12" x14ac:dyDescent="0.35">
      <c r="A69" s="16">
        <v>100030</v>
      </c>
      <c r="B69" s="10">
        <v>46099</v>
      </c>
      <c r="C69" s="9">
        <v>3</v>
      </c>
      <c r="D69" s="9">
        <v>342100</v>
      </c>
      <c r="E69" t="s">
        <v>28</v>
      </c>
      <c r="F69" t="s">
        <v>12</v>
      </c>
      <c r="G69">
        <v>95000</v>
      </c>
      <c r="H69" t="s">
        <v>13</v>
      </c>
      <c r="I69" s="9">
        <v>95000</v>
      </c>
      <c r="J69" s="9" t="s">
        <v>13</v>
      </c>
      <c r="K69" s="9">
        <v>50</v>
      </c>
      <c r="L69" s="9" t="s">
        <v>39</v>
      </c>
    </row>
    <row r="70" spans="1:12" x14ac:dyDescent="0.35">
      <c r="A70" s="16">
        <v>100030</v>
      </c>
      <c r="B70" s="10">
        <v>46099</v>
      </c>
      <c r="C70" s="9">
        <v>3</v>
      </c>
      <c r="D70" s="9">
        <v>514100</v>
      </c>
      <c r="E70" t="s">
        <v>15</v>
      </c>
      <c r="F70" t="s">
        <v>12</v>
      </c>
      <c r="G70">
        <v>95000</v>
      </c>
      <c r="H70" t="s">
        <v>13</v>
      </c>
      <c r="I70" s="9">
        <v>95000</v>
      </c>
      <c r="J70" s="9" t="s">
        <v>13</v>
      </c>
      <c r="K70" s="9">
        <v>40</v>
      </c>
      <c r="L70" s="9" t="s">
        <v>40</v>
      </c>
    </row>
    <row r="71" spans="1:12" x14ac:dyDescent="0.35">
      <c r="A71" s="16">
        <v>100031</v>
      </c>
      <c r="B71" s="10">
        <v>46100</v>
      </c>
      <c r="C71" s="9">
        <v>3</v>
      </c>
      <c r="D71" s="9">
        <v>441100</v>
      </c>
      <c r="E71" t="s">
        <v>19</v>
      </c>
      <c r="F71" t="s">
        <v>12</v>
      </c>
      <c r="G71">
        <v>39000</v>
      </c>
      <c r="H71" t="s">
        <v>13</v>
      </c>
      <c r="I71" s="9">
        <v>39000</v>
      </c>
      <c r="J71" s="9" t="s">
        <v>13</v>
      </c>
      <c r="K71" s="9">
        <v>40</v>
      </c>
      <c r="L71" s="9" t="s">
        <v>41</v>
      </c>
    </row>
    <row r="72" spans="1:12" x14ac:dyDescent="0.35">
      <c r="A72" s="16">
        <v>100031</v>
      </c>
      <c r="B72" s="10">
        <v>46100</v>
      </c>
      <c r="C72" s="9">
        <v>3</v>
      </c>
      <c r="D72" s="9">
        <v>514100</v>
      </c>
      <c r="E72" t="s">
        <v>15</v>
      </c>
      <c r="F72" t="s">
        <v>12</v>
      </c>
      <c r="G72">
        <v>39000</v>
      </c>
      <c r="H72" t="s">
        <v>13</v>
      </c>
      <c r="I72" s="9">
        <v>39000</v>
      </c>
      <c r="J72" s="9" t="s">
        <v>13</v>
      </c>
      <c r="K72" s="9">
        <v>50</v>
      </c>
      <c r="L72" s="9" t="s">
        <v>42</v>
      </c>
    </row>
    <row r="73" spans="1:12" x14ac:dyDescent="0.35">
      <c r="A73" s="16">
        <v>100032</v>
      </c>
      <c r="B73" s="10">
        <v>46101</v>
      </c>
      <c r="C73" s="9">
        <v>3</v>
      </c>
      <c r="D73" s="9">
        <v>514100</v>
      </c>
      <c r="E73" t="s">
        <v>15</v>
      </c>
      <c r="F73" t="s">
        <v>12</v>
      </c>
      <c r="G73">
        <v>37200</v>
      </c>
      <c r="H73" t="s">
        <v>13</v>
      </c>
      <c r="I73" s="9">
        <v>37200</v>
      </c>
      <c r="J73" s="9" t="s">
        <v>13</v>
      </c>
      <c r="K73" s="9">
        <v>50</v>
      </c>
      <c r="L73" s="9" t="s">
        <v>43</v>
      </c>
    </row>
    <row r="74" spans="1:12" x14ac:dyDescent="0.35">
      <c r="A74" s="16">
        <v>100032</v>
      </c>
      <c r="B74" s="10">
        <v>46101</v>
      </c>
      <c r="C74" s="9">
        <v>3</v>
      </c>
      <c r="D74" s="9">
        <v>617100</v>
      </c>
      <c r="E74" t="s">
        <v>44</v>
      </c>
      <c r="F74" t="s">
        <v>45</v>
      </c>
      <c r="G74">
        <v>37200</v>
      </c>
      <c r="H74" t="s">
        <v>13</v>
      </c>
      <c r="I74" s="9">
        <v>37200</v>
      </c>
      <c r="J74" s="9" t="s">
        <v>13</v>
      </c>
      <c r="K74" s="9">
        <v>40</v>
      </c>
      <c r="L74" s="9" t="s">
        <v>46</v>
      </c>
    </row>
    <row r="75" spans="1:12" x14ac:dyDescent="0.35">
      <c r="A75" s="16">
        <v>100033</v>
      </c>
      <c r="B75" s="10">
        <v>46102</v>
      </c>
      <c r="C75" s="9">
        <v>3</v>
      </c>
      <c r="D75" s="9">
        <v>514100</v>
      </c>
      <c r="E75" t="s">
        <v>15</v>
      </c>
      <c r="F75" t="s">
        <v>12</v>
      </c>
      <c r="G75">
        <v>9800</v>
      </c>
      <c r="H75" t="s">
        <v>13</v>
      </c>
      <c r="I75" s="9">
        <v>9800</v>
      </c>
      <c r="J75" s="9" t="s">
        <v>13</v>
      </c>
      <c r="K75" s="9">
        <v>50</v>
      </c>
      <c r="L75" s="9" t="s">
        <v>47</v>
      </c>
    </row>
    <row r="76" spans="1:12" x14ac:dyDescent="0.35">
      <c r="A76" s="16">
        <v>100033</v>
      </c>
      <c r="B76" s="10">
        <v>46102</v>
      </c>
      <c r="C76" s="9">
        <v>3</v>
      </c>
      <c r="D76" s="9">
        <v>613100</v>
      </c>
      <c r="E76" t="s">
        <v>48</v>
      </c>
      <c r="F76" t="s">
        <v>45</v>
      </c>
      <c r="G76">
        <v>9800</v>
      </c>
      <c r="H76" t="s">
        <v>13</v>
      </c>
      <c r="I76" s="9">
        <v>9800</v>
      </c>
      <c r="J76" s="9" t="s">
        <v>13</v>
      </c>
      <c r="K76" s="9">
        <v>40</v>
      </c>
      <c r="L76" s="9" t="s">
        <v>49</v>
      </c>
    </row>
    <row r="77" spans="1:12" x14ac:dyDescent="0.35">
      <c r="A77" s="16">
        <v>100034</v>
      </c>
      <c r="B77" s="10">
        <v>46103</v>
      </c>
      <c r="C77" s="9">
        <v>3</v>
      </c>
      <c r="D77" s="9">
        <v>514100</v>
      </c>
      <c r="E77" t="s">
        <v>15</v>
      </c>
      <c r="F77" t="s">
        <v>12</v>
      </c>
      <c r="G77">
        <v>6800</v>
      </c>
      <c r="H77" t="s">
        <v>13</v>
      </c>
      <c r="I77" s="9">
        <v>6800</v>
      </c>
      <c r="J77" s="9" t="s">
        <v>13</v>
      </c>
      <c r="K77" s="9">
        <v>50</v>
      </c>
      <c r="L77" s="9" t="s">
        <v>50</v>
      </c>
    </row>
    <row r="78" spans="1:12" x14ac:dyDescent="0.35">
      <c r="A78" s="16">
        <v>100034</v>
      </c>
      <c r="B78" s="10">
        <v>46103</v>
      </c>
      <c r="C78" s="9">
        <v>3</v>
      </c>
      <c r="D78" s="9">
        <v>614100</v>
      </c>
      <c r="E78" t="s">
        <v>51</v>
      </c>
      <c r="F78" t="s">
        <v>22</v>
      </c>
      <c r="G78">
        <v>6800</v>
      </c>
      <c r="H78" t="s">
        <v>13</v>
      </c>
      <c r="I78" s="9">
        <v>6800</v>
      </c>
      <c r="J78" s="9" t="s">
        <v>13</v>
      </c>
      <c r="K78" s="9">
        <v>40</v>
      </c>
      <c r="L78" s="9" t="s">
        <v>52</v>
      </c>
    </row>
    <row r="79" spans="1:12" x14ac:dyDescent="0.35">
      <c r="A79" s="16">
        <v>100035</v>
      </c>
      <c r="B79" s="10">
        <v>46104</v>
      </c>
      <c r="C79" s="9">
        <v>3</v>
      </c>
      <c r="D79" s="9">
        <v>514100</v>
      </c>
      <c r="E79" t="s">
        <v>15</v>
      </c>
      <c r="F79" t="s">
        <v>12</v>
      </c>
      <c r="G79">
        <v>4800</v>
      </c>
      <c r="H79" t="s">
        <v>13</v>
      </c>
      <c r="I79" s="9">
        <v>4800</v>
      </c>
      <c r="J79" s="9" t="s">
        <v>13</v>
      </c>
      <c r="K79" s="9">
        <v>50</v>
      </c>
      <c r="L79" s="9" t="s">
        <v>53</v>
      </c>
    </row>
    <row r="80" spans="1:12" x14ac:dyDescent="0.35">
      <c r="A80" s="16">
        <v>100035</v>
      </c>
      <c r="B80" s="10">
        <v>46104</v>
      </c>
      <c r="C80" s="9">
        <v>3</v>
      </c>
      <c r="D80" s="9">
        <v>618100</v>
      </c>
      <c r="E80" t="s">
        <v>54</v>
      </c>
      <c r="F80" t="s">
        <v>55</v>
      </c>
      <c r="G80">
        <v>4800</v>
      </c>
      <c r="H80" t="s">
        <v>13</v>
      </c>
      <c r="I80" s="9">
        <v>4800</v>
      </c>
      <c r="J80" s="9" t="s">
        <v>13</v>
      </c>
      <c r="K80" s="9">
        <v>40</v>
      </c>
      <c r="L80" s="9" t="s">
        <v>56</v>
      </c>
    </row>
    <row r="81" spans="1:12" x14ac:dyDescent="0.35">
      <c r="A81" s="16">
        <v>100036</v>
      </c>
      <c r="B81" s="10">
        <v>46108</v>
      </c>
      <c r="C81" s="9">
        <v>3</v>
      </c>
      <c r="D81" s="9">
        <v>311100</v>
      </c>
      <c r="E81" t="s">
        <v>57</v>
      </c>
      <c r="F81" t="s">
        <v>12</v>
      </c>
      <c r="G81">
        <v>5000</v>
      </c>
      <c r="H81" t="s">
        <v>13</v>
      </c>
      <c r="I81" s="9">
        <v>5000</v>
      </c>
      <c r="J81" s="9" t="s">
        <v>13</v>
      </c>
      <c r="K81" s="9">
        <v>50</v>
      </c>
      <c r="L81" s="9" t="s">
        <v>59</v>
      </c>
    </row>
    <row r="82" spans="1:12" x14ac:dyDescent="0.35">
      <c r="A82" s="16">
        <v>100036</v>
      </c>
      <c r="B82" s="10">
        <v>46108</v>
      </c>
      <c r="C82" s="9">
        <v>3</v>
      </c>
      <c r="D82" s="9">
        <v>611100</v>
      </c>
      <c r="E82" t="s">
        <v>21</v>
      </c>
      <c r="F82" t="s">
        <v>22</v>
      </c>
      <c r="G82">
        <v>5000</v>
      </c>
      <c r="H82" t="s">
        <v>13</v>
      </c>
      <c r="I82" s="9">
        <v>5000</v>
      </c>
      <c r="J82" s="9" t="s">
        <v>13</v>
      </c>
      <c r="K82" s="9">
        <v>40</v>
      </c>
      <c r="L82" s="9" t="s">
        <v>63</v>
      </c>
    </row>
    <row r="83" spans="1:12" x14ac:dyDescent="0.35">
      <c r="A83" s="16">
        <v>100037</v>
      </c>
      <c r="B83" s="10">
        <v>46109</v>
      </c>
      <c r="C83" s="9">
        <v>3</v>
      </c>
      <c r="D83" s="9">
        <v>514100</v>
      </c>
      <c r="E83" t="s">
        <v>15</v>
      </c>
      <c r="F83" t="s">
        <v>12</v>
      </c>
      <c r="G83">
        <v>6800</v>
      </c>
      <c r="H83" t="s">
        <v>13</v>
      </c>
      <c r="I83" s="9">
        <v>6800</v>
      </c>
      <c r="J83" s="9" t="s">
        <v>13</v>
      </c>
      <c r="K83" s="9">
        <v>50</v>
      </c>
      <c r="L83" s="9" t="s">
        <v>60</v>
      </c>
    </row>
    <row r="84" spans="1:12" x14ac:dyDescent="0.35">
      <c r="A84" s="16">
        <v>100037</v>
      </c>
      <c r="B84" s="10">
        <v>46109</v>
      </c>
      <c r="C84" s="9">
        <v>3</v>
      </c>
      <c r="D84" s="9">
        <v>619100</v>
      </c>
      <c r="E84" t="s">
        <v>61</v>
      </c>
      <c r="F84" t="s">
        <v>55</v>
      </c>
      <c r="G84">
        <v>6800</v>
      </c>
      <c r="H84" t="s">
        <v>13</v>
      </c>
      <c r="I84" s="9">
        <v>6800</v>
      </c>
      <c r="J84" s="9" t="s">
        <v>13</v>
      </c>
      <c r="K84" s="9">
        <v>40</v>
      </c>
      <c r="L84" s="9" t="s">
        <v>62</v>
      </c>
    </row>
    <row r="85" spans="1:12" x14ac:dyDescent="0.35">
      <c r="A85" s="16">
        <v>100038</v>
      </c>
      <c r="B85" s="10">
        <v>46117</v>
      </c>
      <c r="C85" s="9">
        <v>4</v>
      </c>
      <c r="D85" s="9">
        <v>345500</v>
      </c>
      <c r="E85" t="s">
        <v>17</v>
      </c>
      <c r="F85" t="s">
        <v>12</v>
      </c>
      <c r="G85">
        <v>14700</v>
      </c>
      <c r="H85" t="s">
        <v>13</v>
      </c>
      <c r="I85" s="9">
        <v>14700</v>
      </c>
      <c r="J85" s="9" t="s">
        <v>13</v>
      </c>
      <c r="K85" s="9">
        <v>40</v>
      </c>
      <c r="L85" s="9" t="s">
        <v>18</v>
      </c>
    </row>
    <row r="86" spans="1:12" x14ac:dyDescent="0.35">
      <c r="A86" s="16">
        <v>100038</v>
      </c>
      <c r="B86" s="10">
        <v>46117</v>
      </c>
      <c r="C86" s="9">
        <v>4</v>
      </c>
      <c r="D86" s="9">
        <v>441100</v>
      </c>
      <c r="E86" t="s">
        <v>19</v>
      </c>
      <c r="F86" t="s">
        <v>12</v>
      </c>
      <c r="G86">
        <v>88200</v>
      </c>
      <c r="H86" t="s">
        <v>13</v>
      </c>
      <c r="I86" s="9">
        <v>88200</v>
      </c>
      <c r="J86" s="9" t="s">
        <v>13</v>
      </c>
      <c r="K86" s="9">
        <v>50</v>
      </c>
      <c r="L86" s="9" t="s">
        <v>20</v>
      </c>
    </row>
    <row r="87" spans="1:12" x14ac:dyDescent="0.35">
      <c r="A87" s="16">
        <v>100038</v>
      </c>
      <c r="B87" s="10">
        <v>46117</v>
      </c>
      <c r="C87" s="9">
        <v>4</v>
      </c>
      <c r="D87" s="9">
        <v>611100</v>
      </c>
      <c r="E87" t="s">
        <v>21</v>
      </c>
      <c r="F87" t="s">
        <v>22</v>
      </c>
      <c r="G87">
        <v>73500</v>
      </c>
      <c r="H87" t="s">
        <v>13</v>
      </c>
      <c r="I87" s="9">
        <v>73500</v>
      </c>
      <c r="J87" s="9" t="s">
        <v>13</v>
      </c>
      <c r="K87" s="9">
        <v>40</v>
      </c>
      <c r="L87" s="9" t="s">
        <v>23</v>
      </c>
    </row>
    <row r="88" spans="1:12" x14ac:dyDescent="0.35">
      <c r="A88" s="16">
        <v>100039</v>
      </c>
      <c r="B88" s="10">
        <v>46120</v>
      </c>
      <c r="C88" s="9">
        <v>4</v>
      </c>
      <c r="D88" s="9">
        <v>345500</v>
      </c>
      <c r="E88" t="s">
        <v>17</v>
      </c>
      <c r="F88" t="s">
        <v>12</v>
      </c>
      <c r="G88">
        <v>9936</v>
      </c>
      <c r="H88" t="s">
        <v>13</v>
      </c>
      <c r="I88" s="9">
        <v>9936</v>
      </c>
      <c r="J88" s="9" t="s">
        <v>13</v>
      </c>
      <c r="K88" s="9">
        <v>40</v>
      </c>
      <c r="L88" s="9" t="s">
        <v>24</v>
      </c>
    </row>
    <row r="89" spans="1:12" x14ac:dyDescent="0.35">
      <c r="A89" s="16">
        <v>100039</v>
      </c>
      <c r="B89" s="10">
        <v>46120</v>
      </c>
      <c r="C89" s="9">
        <v>4</v>
      </c>
      <c r="D89" s="9">
        <v>441100</v>
      </c>
      <c r="E89" t="s">
        <v>19</v>
      </c>
      <c r="F89" t="s">
        <v>12</v>
      </c>
      <c r="G89">
        <v>59616</v>
      </c>
      <c r="H89" t="s">
        <v>13</v>
      </c>
      <c r="I89" s="9">
        <v>59616</v>
      </c>
      <c r="J89" s="9" t="s">
        <v>13</v>
      </c>
      <c r="K89" s="9">
        <v>50</v>
      </c>
      <c r="L89" s="9" t="s">
        <v>25</v>
      </c>
    </row>
    <row r="90" spans="1:12" x14ac:dyDescent="0.35">
      <c r="A90" s="16">
        <v>100039</v>
      </c>
      <c r="B90" s="10">
        <v>46120</v>
      </c>
      <c r="C90" s="9">
        <v>4</v>
      </c>
      <c r="D90" s="9">
        <v>611100</v>
      </c>
      <c r="E90" t="s">
        <v>21</v>
      </c>
      <c r="F90" t="s">
        <v>22</v>
      </c>
      <c r="G90">
        <v>4600</v>
      </c>
      <c r="H90" t="s">
        <v>26</v>
      </c>
      <c r="I90" s="9">
        <v>49680</v>
      </c>
      <c r="J90" s="9" t="s">
        <v>13</v>
      </c>
      <c r="K90" s="9">
        <v>40</v>
      </c>
      <c r="L90" s="9" t="s">
        <v>27</v>
      </c>
    </row>
    <row r="91" spans="1:12" x14ac:dyDescent="0.35">
      <c r="A91" s="16">
        <v>100040</v>
      </c>
      <c r="B91" s="10">
        <v>46122</v>
      </c>
      <c r="C91" s="9">
        <v>4</v>
      </c>
      <c r="D91" s="9">
        <v>342100</v>
      </c>
      <c r="E91" t="s">
        <v>28</v>
      </c>
      <c r="F91" t="s">
        <v>12</v>
      </c>
      <c r="G91">
        <v>117600</v>
      </c>
      <c r="H91" t="s">
        <v>13</v>
      </c>
      <c r="I91" s="9">
        <v>117600</v>
      </c>
      <c r="J91" s="9" t="s">
        <v>13</v>
      </c>
      <c r="K91" s="9">
        <v>40</v>
      </c>
      <c r="L91" s="9" t="s">
        <v>29</v>
      </c>
    </row>
    <row r="92" spans="1:12" x14ac:dyDescent="0.35">
      <c r="A92" s="16">
        <v>100040</v>
      </c>
      <c r="B92" s="10">
        <v>46122</v>
      </c>
      <c r="C92" s="9">
        <v>4</v>
      </c>
      <c r="D92" s="9">
        <v>445500</v>
      </c>
      <c r="E92" t="s">
        <v>30</v>
      </c>
      <c r="F92" t="s">
        <v>12</v>
      </c>
      <c r="G92">
        <v>19600</v>
      </c>
      <c r="H92" t="s">
        <v>13</v>
      </c>
      <c r="I92" s="9">
        <v>19600</v>
      </c>
      <c r="J92" s="9" t="s">
        <v>13</v>
      </c>
      <c r="K92" s="9">
        <v>50</v>
      </c>
      <c r="L92" s="9" t="s">
        <v>31</v>
      </c>
    </row>
    <row r="93" spans="1:12" x14ac:dyDescent="0.35">
      <c r="A93" s="16">
        <v>100040</v>
      </c>
      <c r="B93" s="10">
        <v>46122</v>
      </c>
      <c r="C93" s="9">
        <v>4</v>
      </c>
      <c r="D93" s="9">
        <v>711100</v>
      </c>
      <c r="E93" t="s">
        <v>32</v>
      </c>
      <c r="F93" t="s">
        <v>33</v>
      </c>
      <c r="G93">
        <v>98000</v>
      </c>
      <c r="H93" t="s">
        <v>13</v>
      </c>
      <c r="I93" s="9">
        <v>98000</v>
      </c>
      <c r="J93" s="9" t="s">
        <v>13</v>
      </c>
      <c r="K93" s="9">
        <v>50</v>
      </c>
      <c r="L93" s="9" t="s">
        <v>34</v>
      </c>
    </row>
    <row r="94" spans="1:12" x14ac:dyDescent="0.35">
      <c r="A94" s="16">
        <v>100041</v>
      </c>
      <c r="B94" s="10">
        <v>46127</v>
      </c>
      <c r="C94" s="9">
        <v>4</v>
      </c>
      <c r="D94" s="9">
        <v>342100</v>
      </c>
      <c r="E94" t="s">
        <v>28</v>
      </c>
      <c r="F94" t="s">
        <v>12</v>
      </c>
      <c r="G94">
        <v>5600</v>
      </c>
      <c r="H94" t="s">
        <v>35</v>
      </c>
      <c r="I94" s="9">
        <v>55496</v>
      </c>
      <c r="J94" s="9" t="s">
        <v>13</v>
      </c>
      <c r="K94" s="9">
        <v>40</v>
      </c>
      <c r="L94" s="9" t="s">
        <v>36</v>
      </c>
    </row>
    <row r="95" spans="1:12" x14ac:dyDescent="0.35">
      <c r="A95" s="16">
        <v>100041</v>
      </c>
      <c r="B95" s="10">
        <v>46127</v>
      </c>
      <c r="C95" s="9">
        <v>4</v>
      </c>
      <c r="D95" s="9">
        <v>712100</v>
      </c>
      <c r="E95" t="s">
        <v>37</v>
      </c>
      <c r="F95" t="s">
        <v>33</v>
      </c>
      <c r="G95">
        <v>5600</v>
      </c>
      <c r="H95" t="s">
        <v>35</v>
      </c>
      <c r="I95" s="9">
        <v>55496</v>
      </c>
      <c r="J95" s="9" t="s">
        <v>13</v>
      </c>
      <c r="K95" s="9">
        <v>50</v>
      </c>
      <c r="L95" s="9" t="s">
        <v>38</v>
      </c>
    </row>
    <row r="96" spans="1:12" x14ac:dyDescent="0.35">
      <c r="A96" s="16">
        <v>100042</v>
      </c>
      <c r="B96" s="10">
        <v>46130</v>
      </c>
      <c r="C96" s="9">
        <v>4</v>
      </c>
      <c r="D96" s="9">
        <v>342100</v>
      </c>
      <c r="E96" t="s">
        <v>28</v>
      </c>
      <c r="F96" t="s">
        <v>12</v>
      </c>
      <c r="G96">
        <v>88000</v>
      </c>
      <c r="H96" t="s">
        <v>13</v>
      </c>
      <c r="I96" s="9">
        <v>88000</v>
      </c>
      <c r="J96" s="9" t="s">
        <v>13</v>
      </c>
      <c r="K96" s="9">
        <v>50</v>
      </c>
      <c r="L96" s="9" t="s">
        <v>39</v>
      </c>
    </row>
    <row r="97" spans="1:12" x14ac:dyDescent="0.35">
      <c r="A97" s="16">
        <v>100042</v>
      </c>
      <c r="B97" s="10">
        <v>46130</v>
      </c>
      <c r="C97" s="9">
        <v>4</v>
      </c>
      <c r="D97" s="9">
        <v>514100</v>
      </c>
      <c r="E97" t="s">
        <v>15</v>
      </c>
      <c r="F97" t="s">
        <v>12</v>
      </c>
      <c r="G97">
        <v>88000</v>
      </c>
      <c r="H97" t="s">
        <v>13</v>
      </c>
      <c r="I97" s="9">
        <v>88000</v>
      </c>
      <c r="J97" s="9" t="s">
        <v>13</v>
      </c>
      <c r="K97" s="9">
        <v>40</v>
      </c>
      <c r="L97" s="9" t="s">
        <v>40</v>
      </c>
    </row>
    <row r="98" spans="1:12" x14ac:dyDescent="0.35">
      <c r="A98" s="16">
        <v>100043</v>
      </c>
      <c r="B98" s="10">
        <v>46131</v>
      </c>
      <c r="C98" s="9">
        <v>4</v>
      </c>
      <c r="D98" s="9">
        <v>441100</v>
      </c>
      <c r="E98" t="s">
        <v>19</v>
      </c>
      <c r="F98" t="s">
        <v>12</v>
      </c>
      <c r="G98">
        <v>61000</v>
      </c>
      <c r="H98" t="s">
        <v>13</v>
      </c>
      <c r="I98" s="9">
        <v>61000</v>
      </c>
      <c r="J98" s="9" t="s">
        <v>13</v>
      </c>
      <c r="K98" s="9">
        <v>40</v>
      </c>
      <c r="L98" s="9" t="s">
        <v>41</v>
      </c>
    </row>
    <row r="99" spans="1:12" x14ac:dyDescent="0.35">
      <c r="A99" s="16">
        <v>100043</v>
      </c>
      <c r="B99" s="10">
        <v>46131</v>
      </c>
      <c r="C99" s="9">
        <v>4</v>
      </c>
      <c r="D99" s="9">
        <v>514100</v>
      </c>
      <c r="E99" t="s">
        <v>15</v>
      </c>
      <c r="F99" t="s">
        <v>12</v>
      </c>
      <c r="G99">
        <v>61000</v>
      </c>
      <c r="H99" t="s">
        <v>13</v>
      </c>
      <c r="I99" s="9">
        <v>61000</v>
      </c>
      <c r="J99" s="9" t="s">
        <v>13</v>
      </c>
      <c r="K99" s="9">
        <v>50</v>
      </c>
      <c r="L99" s="9" t="s">
        <v>42</v>
      </c>
    </row>
    <row r="100" spans="1:12" x14ac:dyDescent="0.35">
      <c r="A100" s="16">
        <v>100044</v>
      </c>
      <c r="B100" s="10">
        <v>46132</v>
      </c>
      <c r="C100" s="9">
        <v>4</v>
      </c>
      <c r="D100" s="9">
        <v>514100</v>
      </c>
      <c r="E100" t="s">
        <v>15</v>
      </c>
      <c r="F100" t="s">
        <v>12</v>
      </c>
      <c r="G100">
        <v>38000</v>
      </c>
      <c r="H100" t="s">
        <v>13</v>
      </c>
      <c r="I100" s="9">
        <v>38000</v>
      </c>
      <c r="J100" s="9" t="s">
        <v>13</v>
      </c>
      <c r="K100" s="9">
        <v>50</v>
      </c>
      <c r="L100" s="9" t="s">
        <v>43</v>
      </c>
    </row>
    <row r="101" spans="1:12" x14ac:dyDescent="0.35">
      <c r="A101" s="16">
        <v>100044</v>
      </c>
      <c r="B101" s="10">
        <v>46132</v>
      </c>
      <c r="C101" s="9">
        <v>4</v>
      </c>
      <c r="D101" s="9">
        <v>617100</v>
      </c>
      <c r="E101" t="s">
        <v>44</v>
      </c>
      <c r="F101" t="s">
        <v>45</v>
      </c>
      <c r="G101">
        <v>38000</v>
      </c>
      <c r="H101" t="s">
        <v>13</v>
      </c>
      <c r="I101" s="9">
        <v>38000</v>
      </c>
      <c r="J101" s="9" t="s">
        <v>13</v>
      </c>
      <c r="K101" s="9">
        <v>40</v>
      </c>
      <c r="L101" s="9" t="s">
        <v>46</v>
      </c>
    </row>
    <row r="102" spans="1:12" x14ac:dyDescent="0.35">
      <c r="A102" s="16">
        <v>100045</v>
      </c>
      <c r="B102" s="10">
        <v>46133</v>
      </c>
      <c r="C102" s="9">
        <v>4</v>
      </c>
      <c r="D102" s="9">
        <v>514100</v>
      </c>
      <c r="E102" t="s">
        <v>15</v>
      </c>
      <c r="F102" t="s">
        <v>12</v>
      </c>
      <c r="G102">
        <v>9800</v>
      </c>
      <c r="H102" t="s">
        <v>13</v>
      </c>
      <c r="I102" s="9">
        <v>9800</v>
      </c>
      <c r="J102" s="9" t="s">
        <v>13</v>
      </c>
      <c r="K102" s="9">
        <v>50</v>
      </c>
      <c r="L102" s="9" t="s">
        <v>47</v>
      </c>
    </row>
    <row r="103" spans="1:12" x14ac:dyDescent="0.35">
      <c r="A103" s="16">
        <v>100045</v>
      </c>
      <c r="B103" s="10">
        <v>46133</v>
      </c>
      <c r="C103" s="9">
        <v>4</v>
      </c>
      <c r="D103" s="9">
        <v>613100</v>
      </c>
      <c r="E103" t="s">
        <v>48</v>
      </c>
      <c r="F103" t="s">
        <v>45</v>
      </c>
      <c r="G103">
        <v>9800</v>
      </c>
      <c r="H103" t="s">
        <v>13</v>
      </c>
      <c r="I103" s="9">
        <v>9800</v>
      </c>
      <c r="J103" s="9" t="s">
        <v>13</v>
      </c>
      <c r="K103" s="9">
        <v>40</v>
      </c>
      <c r="L103" s="9" t="s">
        <v>49</v>
      </c>
    </row>
    <row r="104" spans="1:12" x14ac:dyDescent="0.35">
      <c r="A104" s="16">
        <v>100046</v>
      </c>
      <c r="B104" s="10">
        <v>46134</v>
      </c>
      <c r="C104" s="9">
        <v>4</v>
      </c>
      <c r="D104" s="9">
        <v>514100</v>
      </c>
      <c r="E104" t="s">
        <v>15</v>
      </c>
      <c r="F104" t="s">
        <v>12</v>
      </c>
      <c r="G104">
        <v>7500</v>
      </c>
      <c r="H104" t="s">
        <v>13</v>
      </c>
      <c r="I104" s="9">
        <v>7500</v>
      </c>
      <c r="J104" s="9" t="s">
        <v>13</v>
      </c>
      <c r="K104" s="9">
        <v>50</v>
      </c>
      <c r="L104" s="9" t="s">
        <v>50</v>
      </c>
    </row>
    <row r="105" spans="1:12" x14ac:dyDescent="0.35">
      <c r="A105" s="16">
        <v>100046</v>
      </c>
      <c r="B105" s="10">
        <v>46134</v>
      </c>
      <c r="C105" s="9">
        <v>4</v>
      </c>
      <c r="D105" s="9">
        <v>614100</v>
      </c>
      <c r="E105" t="s">
        <v>51</v>
      </c>
      <c r="F105" t="s">
        <v>22</v>
      </c>
      <c r="G105">
        <v>7500</v>
      </c>
      <c r="H105" t="s">
        <v>13</v>
      </c>
      <c r="I105" s="9">
        <v>7500</v>
      </c>
      <c r="J105" s="9" t="s">
        <v>13</v>
      </c>
      <c r="K105" s="9">
        <v>40</v>
      </c>
      <c r="L105" s="9" t="s">
        <v>52</v>
      </c>
    </row>
    <row r="106" spans="1:12" x14ac:dyDescent="0.35">
      <c r="A106" s="16">
        <v>100047</v>
      </c>
      <c r="B106" s="10">
        <v>46135</v>
      </c>
      <c r="C106" s="9">
        <v>4</v>
      </c>
      <c r="D106" s="9">
        <v>514100</v>
      </c>
      <c r="E106" t="s">
        <v>15</v>
      </c>
      <c r="F106" t="s">
        <v>12</v>
      </c>
      <c r="G106">
        <v>6000</v>
      </c>
      <c r="H106" t="s">
        <v>13</v>
      </c>
      <c r="I106" s="9">
        <v>6000</v>
      </c>
      <c r="J106" s="9" t="s">
        <v>13</v>
      </c>
      <c r="K106" s="9">
        <v>50</v>
      </c>
      <c r="L106" s="9" t="s">
        <v>53</v>
      </c>
    </row>
    <row r="107" spans="1:12" x14ac:dyDescent="0.35">
      <c r="A107" s="16">
        <v>100047</v>
      </c>
      <c r="B107" s="10">
        <v>46135</v>
      </c>
      <c r="C107" s="9">
        <v>4</v>
      </c>
      <c r="D107" s="9">
        <v>618100</v>
      </c>
      <c r="E107" t="s">
        <v>54</v>
      </c>
      <c r="F107" t="s">
        <v>55</v>
      </c>
      <c r="G107">
        <v>6000</v>
      </c>
      <c r="H107" t="s">
        <v>13</v>
      </c>
      <c r="I107" s="9">
        <v>6000</v>
      </c>
      <c r="J107" s="9" t="s">
        <v>13</v>
      </c>
      <c r="K107" s="9">
        <v>40</v>
      </c>
      <c r="L107" s="9" t="s">
        <v>56</v>
      </c>
    </row>
    <row r="108" spans="1:12" x14ac:dyDescent="0.35">
      <c r="A108" s="16">
        <v>100048</v>
      </c>
      <c r="B108" s="10">
        <v>46139</v>
      </c>
      <c r="C108" s="9">
        <v>4</v>
      </c>
      <c r="D108" s="9">
        <v>311100</v>
      </c>
      <c r="E108" t="s">
        <v>57</v>
      </c>
      <c r="F108" t="s">
        <v>12</v>
      </c>
      <c r="G108">
        <v>12000</v>
      </c>
      <c r="H108" t="s">
        <v>13</v>
      </c>
      <c r="I108" s="9">
        <v>12000</v>
      </c>
      <c r="J108" s="9" t="s">
        <v>13</v>
      </c>
      <c r="K108" s="9">
        <v>40</v>
      </c>
      <c r="L108" s="9" t="s">
        <v>58</v>
      </c>
    </row>
    <row r="109" spans="1:12" x14ac:dyDescent="0.35">
      <c r="A109" s="16">
        <v>100048</v>
      </c>
      <c r="B109" s="10">
        <v>46139</v>
      </c>
      <c r="C109" s="9">
        <v>4</v>
      </c>
      <c r="D109" s="9">
        <v>611100</v>
      </c>
      <c r="E109" t="s">
        <v>21</v>
      </c>
      <c r="F109" t="s">
        <v>22</v>
      </c>
      <c r="G109">
        <v>12000</v>
      </c>
      <c r="H109" t="s">
        <v>13</v>
      </c>
      <c r="I109" s="9">
        <v>12000</v>
      </c>
      <c r="J109" s="9" t="s">
        <v>13</v>
      </c>
      <c r="K109" s="9">
        <v>50</v>
      </c>
      <c r="L109" s="9" t="s">
        <v>59</v>
      </c>
    </row>
    <row r="110" spans="1:12" x14ac:dyDescent="0.35">
      <c r="A110" s="16">
        <v>100049</v>
      </c>
      <c r="B110" s="10">
        <v>46140</v>
      </c>
      <c r="C110" s="9">
        <v>4</v>
      </c>
      <c r="D110" s="9">
        <v>514100</v>
      </c>
      <c r="E110" t="s">
        <v>15</v>
      </c>
      <c r="F110" t="s">
        <v>12</v>
      </c>
      <c r="G110">
        <v>6800</v>
      </c>
      <c r="H110" t="s">
        <v>13</v>
      </c>
      <c r="I110" s="9">
        <v>6800</v>
      </c>
      <c r="J110" s="9" t="s">
        <v>13</v>
      </c>
      <c r="K110" s="9">
        <v>50</v>
      </c>
      <c r="L110" s="9" t="s">
        <v>60</v>
      </c>
    </row>
    <row r="111" spans="1:12" x14ac:dyDescent="0.35">
      <c r="A111" s="16">
        <v>100049</v>
      </c>
      <c r="B111" s="10">
        <v>46140</v>
      </c>
      <c r="C111" s="9">
        <v>4</v>
      </c>
      <c r="D111" s="9">
        <v>619100</v>
      </c>
      <c r="E111" t="s">
        <v>61</v>
      </c>
      <c r="F111" t="s">
        <v>55</v>
      </c>
      <c r="G111">
        <v>6800</v>
      </c>
      <c r="H111" t="s">
        <v>13</v>
      </c>
      <c r="I111" s="9">
        <v>6800</v>
      </c>
      <c r="J111" s="9" t="s">
        <v>13</v>
      </c>
      <c r="K111" s="9">
        <v>40</v>
      </c>
      <c r="L111" s="9" t="s">
        <v>62</v>
      </c>
    </row>
    <row r="112" spans="1:12" x14ac:dyDescent="0.35">
      <c r="A112" s="16">
        <v>100050</v>
      </c>
      <c r="B112" s="10">
        <v>46147</v>
      </c>
      <c r="C112" s="9">
        <v>5</v>
      </c>
      <c r="D112" s="9">
        <v>345500</v>
      </c>
      <c r="E112" t="s">
        <v>17</v>
      </c>
      <c r="F112" t="s">
        <v>12</v>
      </c>
      <c r="G112">
        <v>12200</v>
      </c>
      <c r="H112" t="s">
        <v>13</v>
      </c>
      <c r="I112" s="9">
        <v>12200</v>
      </c>
      <c r="J112" s="9" t="s">
        <v>13</v>
      </c>
      <c r="K112" s="9">
        <v>40</v>
      </c>
      <c r="L112" s="9" t="s">
        <v>18</v>
      </c>
    </row>
    <row r="113" spans="1:12" x14ac:dyDescent="0.35">
      <c r="A113" s="16">
        <v>100050</v>
      </c>
      <c r="B113" s="10">
        <v>46147</v>
      </c>
      <c r="C113" s="9">
        <v>5</v>
      </c>
      <c r="D113" s="9">
        <v>441100</v>
      </c>
      <c r="E113" t="s">
        <v>19</v>
      </c>
      <c r="F113" t="s">
        <v>12</v>
      </c>
      <c r="G113">
        <v>73200</v>
      </c>
      <c r="H113" t="s">
        <v>13</v>
      </c>
      <c r="I113" s="9">
        <v>73200</v>
      </c>
      <c r="J113" s="9" t="s">
        <v>13</v>
      </c>
      <c r="K113" s="9">
        <v>50</v>
      </c>
      <c r="L113" s="9" t="s">
        <v>20</v>
      </c>
    </row>
    <row r="114" spans="1:12" x14ac:dyDescent="0.35">
      <c r="A114" s="16">
        <v>100050</v>
      </c>
      <c r="B114" s="10">
        <v>46147</v>
      </c>
      <c r="C114" s="9">
        <v>5</v>
      </c>
      <c r="D114" s="9">
        <v>611100</v>
      </c>
      <c r="E114" t="s">
        <v>21</v>
      </c>
      <c r="F114" t="s">
        <v>22</v>
      </c>
      <c r="G114">
        <v>61000</v>
      </c>
      <c r="H114" t="s">
        <v>13</v>
      </c>
      <c r="I114" s="9">
        <v>61000</v>
      </c>
      <c r="J114" s="9" t="s">
        <v>13</v>
      </c>
      <c r="K114" s="9">
        <v>40</v>
      </c>
      <c r="L114" s="9" t="s">
        <v>23</v>
      </c>
    </row>
    <row r="115" spans="1:12" x14ac:dyDescent="0.35">
      <c r="A115" s="16">
        <v>100051</v>
      </c>
      <c r="B115" s="10">
        <v>46150</v>
      </c>
      <c r="C115" s="9">
        <v>5</v>
      </c>
      <c r="D115" s="9">
        <v>345500</v>
      </c>
      <c r="E115" t="s">
        <v>17</v>
      </c>
      <c r="F115" t="s">
        <v>12</v>
      </c>
      <c r="G115">
        <v>7665</v>
      </c>
      <c r="H115" t="s">
        <v>13</v>
      </c>
      <c r="I115" s="9">
        <v>7665</v>
      </c>
      <c r="J115" s="9" t="s">
        <v>13</v>
      </c>
      <c r="K115" s="9">
        <v>40</v>
      </c>
      <c r="L115" s="9" t="s">
        <v>24</v>
      </c>
    </row>
    <row r="116" spans="1:12" x14ac:dyDescent="0.35">
      <c r="A116" s="16">
        <v>100051</v>
      </c>
      <c r="B116" s="10">
        <v>46150</v>
      </c>
      <c r="C116" s="9">
        <v>5</v>
      </c>
      <c r="D116" s="9">
        <v>441100</v>
      </c>
      <c r="E116" t="s">
        <v>19</v>
      </c>
      <c r="F116" t="s">
        <v>12</v>
      </c>
      <c r="G116">
        <v>45990</v>
      </c>
      <c r="H116" t="s">
        <v>13</v>
      </c>
      <c r="I116" s="9">
        <v>45990</v>
      </c>
      <c r="J116" s="9" t="s">
        <v>13</v>
      </c>
      <c r="K116" s="9">
        <v>50</v>
      </c>
      <c r="L116" s="9" t="s">
        <v>25</v>
      </c>
    </row>
    <row r="117" spans="1:12" x14ac:dyDescent="0.35">
      <c r="A117" s="16">
        <v>100051</v>
      </c>
      <c r="B117" s="10">
        <v>46150</v>
      </c>
      <c r="C117" s="9">
        <v>5</v>
      </c>
      <c r="D117" s="9">
        <v>611100</v>
      </c>
      <c r="E117" t="s">
        <v>21</v>
      </c>
      <c r="F117" t="s">
        <v>22</v>
      </c>
      <c r="G117">
        <v>3500</v>
      </c>
      <c r="H117" t="s">
        <v>26</v>
      </c>
      <c r="I117" s="9">
        <v>38325</v>
      </c>
      <c r="J117" s="9" t="s">
        <v>13</v>
      </c>
      <c r="K117" s="9">
        <v>40</v>
      </c>
      <c r="L117" s="9" t="s">
        <v>27</v>
      </c>
    </row>
    <row r="118" spans="1:12" x14ac:dyDescent="0.35">
      <c r="A118" s="16">
        <v>100052</v>
      </c>
      <c r="B118" s="10">
        <v>46152</v>
      </c>
      <c r="C118" s="9">
        <v>5</v>
      </c>
      <c r="D118" s="9">
        <v>342100</v>
      </c>
      <c r="E118" t="s">
        <v>28</v>
      </c>
      <c r="F118" t="s">
        <v>12</v>
      </c>
      <c r="G118">
        <v>141600</v>
      </c>
      <c r="H118" t="s">
        <v>13</v>
      </c>
      <c r="I118" s="9">
        <v>141600</v>
      </c>
      <c r="J118" s="9" t="s">
        <v>13</v>
      </c>
      <c r="K118" s="9">
        <v>40</v>
      </c>
      <c r="L118" s="9" t="s">
        <v>29</v>
      </c>
    </row>
    <row r="119" spans="1:12" x14ac:dyDescent="0.35">
      <c r="A119" s="16">
        <v>100052</v>
      </c>
      <c r="B119" s="10">
        <v>46152</v>
      </c>
      <c r="C119" s="9">
        <v>5</v>
      </c>
      <c r="D119" s="9">
        <v>445500</v>
      </c>
      <c r="E119" t="s">
        <v>30</v>
      </c>
      <c r="F119" t="s">
        <v>12</v>
      </c>
      <c r="G119">
        <v>23600</v>
      </c>
      <c r="H119" t="s">
        <v>13</v>
      </c>
      <c r="I119" s="9">
        <v>23600</v>
      </c>
      <c r="J119" s="9" t="s">
        <v>13</v>
      </c>
      <c r="K119" s="9">
        <v>50</v>
      </c>
      <c r="L119" s="9" t="s">
        <v>31</v>
      </c>
    </row>
    <row r="120" spans="1:12" x14ac:dyDescent="0.35">
      <c r="A120" s="16">
        <v>100052</v>
      </c>
      <c r="B120" s="10">
        <v>46152</v>
      </c>
      <c r="C120" s="9">
        <v>5</v>
      </c>
      <c r="D120" s="9">
        <v>711100</v>
      </c>
      <c r="E120" t="s">
        <v>32</v>
      </c>
      <c r="F120" t="s">
        <v>33</v>
      </c>
      <c r="G120">
        <v>118000</v>
      </c>
      <c r="H120" t="s">
        <v>13</v>
      </c>
      <c r="I120" s="9">
        <v>118000</v>
      </c>
      <c r="J120" s="9" t="s">
        <v>13</v>
      </c>
      <c r="K120" s="9">
        <v>50</v>
      </c>
      <c r="L120" s="9" t="s">
        <v>34</v>
      </c>
    </row>
    <row r="121" spans="1:12" x14ac:dyDescent="0.35">
      <c r="A121" s="16">
        <v>100053</v>
      </c>
      <c r="B121" s="10">
        <v>46157</v>
      </c>
      <c r="C121" s="9">
        <v>5</v>
      </c>
      <c r="D121" s="9">
        <v>342100</v>
      </c>
      <c r="E121" t="s">
        <v>28</v>
      </c>
      <c r="F121" t="s">
        <v>12</v>
      </c>
      <c r="G121">
        <v>4700</v>
      </c>
      <c r="H121" t="s">
        <v>35</v>
      </c>
      <c r="I121" s="9">
        <v>45872</v>
      </c>
      <c r="J121" s="9" t="s">
        <v>13</v>
      </c>
      <c r="K121" s="9">
        <v>40</v>
      </c>
      <c r="L121" s="9" t="s">
        <v>36</v>
      </c>
    </row>
    <row r="122" spans="1:12" x14ac:dyDescent="0.35">
      <c r="A122" s="16">
        <v>100053</v>
      </c>
      <c r="B122" s="10">
        <v>46157</v>
      </c>
      <c r="C122" s="9">
        <v>5</v>
      </c>
      <c r="D122" s="9">
        <v>712100</v>
      </c>
      <c r="E122" t="s">
        <v>37</v>
      </c>
      <c r="F122" t="s">
        <v>33</v>
      </c>
      <c r="G122">
        <v>4700</v>
      </c>
      <c r="H122" t="s">
        <v>35</v>
      </c>
      <c r="I122" s="9">
        <v>45872</v>
      </c>
      <c r="J122" s="9" t="s">
        <v>13</v>
      </c>
      <c r="K122" s="9">
        <v>50</v>
      </c>
      <c r="L122" s="9" t="s">
        <v>38</v>
      </c>
    </row>
    <row r="123" spans="1:12" x14ac:dyDescent="0.35">
      <c r="A123" s="16">
        <v>100054</v>
      </c>
      <c r="B123" s="10">
        <v>46160</v>
      </c>
      <c r="C123" s="9">
        <v>5</v>
      </c>
      <c r="D123" s="9">
        <v>342100</v>
      </c>
      <c r="E123" t="s">
        <v>28</v>
      </c>
      <c r="F123" t="s">
        <v>12</v>
      </c>
      <c r="G123">
        <v>102000</v>
      </c>
      <c r="H123" t="s">
        <v>13</v>
      </c>
      <c r="I123" s="9">
        <v>102000</v>
      </c>
      <c r="J123" s="9" t="s">
        <v>13</v>
      </c>
      <c r="K123" s="9">
        <v>50</v>
      </c>
      <c r="L123" s="9" t="s">
        <v>39</v>
      </c>
    </row>
    <row r="124" spans="1:12" x14ac:dyDescent="0.35">
      <c r="A124" s="16">
        <v>100054</v>
      </c>
      <c r="B124" s="10">
        <v>46160</v>
      </c>
      <c r="C124" s="9">
        <v>5</v>
      </c>
      <c r="D124" s="9">
        <v>514100</v>
      </c>
      <c r="E124" t="s">
        <v>15</v>
      </c>
      <c r="F124" t="s">
        <v>12</v>
      </c>
      <c r="G124">
        <v>102000</v>
      </c>
      <c r="H124" t="s">
        <v>13</v>
      </c>
      <c r="I124" s="9">
        <v>102000</v>
      </c>
      <c r="J124" s="9" t="s">
        <v>13</v>
      </c>
      <c r="K124" s="9">
        <v>40</v>
      </c>
      <c r="L124" s="9" t="s">
        <v>40</v>
      </c>
    </row>
    <row r="125" spans="1:12" x14ac:dyDescent="0.35">
      <c r="A125" s="16">
        <v>100055</v>
      </c>
      <c r="B125" s="10">
        <v>46161</v>
      </c>
      <c r="C125" s="9">
        <v>5</v>
      </c>
      <c r="D125" s="9">
        <v>441100</v>
      </c>
      <c r="E125" t="s">
        <v>19</v>
      </c>
      <c r="F125" t="s">
        <v>12</v>
      </c>
      <c r="G125">
        <v>50000</v>
      </c>
      <c r="H125" t="s">
        <v>13</v>
      </c>
      <c r="I125" s="9">
        <v>50000</v>
      </c>
      <c r="J125" s="9" t="s">
        <v>13</v>
      </c>
      <c r="K125" s="9">
        <v>40</v>
      </c>
      <c r="L125" s="9" t="s">
        <v>41</v>
      </c>
    </row>
    <row r="126" spans="1:12" x14ac:dyDescent="0.35">
      <c r="A126" s="16">
        <v>100055</v>
      </c>
      <c r="B126" s="10">
        <v>46161</v>
      </c>
      <c r="C126" s="9">
        <v>5</v>
      </c>
      <c r="D126" s="9">
        <v>514100</v>
      </c>
      <c r="E126" t="s">
        <v>15</v>
      </c>
      <c r="F126" t="s">
        <v>12</v>
      </c>
      <c r="G126">
        <v>50000</v>
      </c>
      <c r="H126" t="s">
        <v>13</v>
      </c>
      <c r="I126" s="9">
        <v>50000</v>
      </c>
      <c r="J126" s="9" t="s">
        <v>13</v>
      </c>
      <c r="K126" s="9">
        <v>50</v>
      </c>
      <c r="L126" s="9" t="s">
        <v>42</v>
      </c>
    </row>
    <row r="127" spans="1:12" x14ac:dyDescent="0.35">
      <c r="A127" s="16">
        <v>100056</v>
      </c>
      <c r="B127" s="10">
        <v>46162</v>
      </c>
      <c r="C127" s="9">
        <v>5</v>
      </c>
      <c r="D127" s="9">
        <v>514100</v>
      </c>
      <c r="E127" t="s">
        <v>15</v>
      </c>
      <c r="F127" t="s">
        <v>12</v>
      </c>
      <c r="G127">
        <v>38500</v>
      </c>
      <c r="H127" t="s">
        <v>13</v>
      </c>
      <c r="I127" s="9">
        <v>38500</v>
      </c>
      <c r="J127" s="9" t="s">
        <v>13</v>
      </c>
      <c r="K127" s="9">
        <v>50</v>
      </c>
      <c r="L127" s="9" t="s">
        <v>43</v>
      </c>
    </row>
    <row r="128" spans="1:12" x14ac:dyDescent="0.35">
      <c r="A128" s="16">
        <v>100056</v>
      </c>
      <c r="B128" s="10">
        <v>46162</v>
      </c>
      <c r="C128" s="9">
        <v>5</v>
      </c>
      <c r="D128" s="9">
        <v>617100</v>
      </c>
      <c r="E128" t="s">
        <v>44</v>
      </c>
      <c r="F128" t="s">
        <v>45</v>
      </c>
      <c r="G128">
        <v>38500</v>
      </c>
      <c r="H128" t="s">
        <v>13</v>
      </c>
      <c r="I128" s="9">
        <v>38500</v>
      </c>
      <c r="J128" s="9" t="s">
        <v>13</v>
      </c>
      <c r="K128" s="9">
        <v>40</v>
      </c>
      <c r="L128" s="9" t="s">
        <v>46</v>
      </c>
    </row>
    <row r="129" spans="1:12" x14ac:dyDescent="0.35">
      <c r="A129" s="16">
        <v>100057</v>
      </c>
      <c r="B129" s="10">
        <v>46163</v>
      </c>
      <c r="C129" s="9">
        <v>5</v>
      </c>
      <c r="D129" s="9">
        <v>514100</v>
      </c>
      <c r="E129" t="s">
        <v>15</v>
      </c>
      <c r="F129" t="s">
        <v>12</v>
      </c>
      <c r="G129">
        <v>10000</v>
      </c>
      <c r="H129" t="s">
        <v>13</v>
      </c>
      <c r="I129" s="9">
        <v>10000</v>
      </c>
      <c r="J129" s="9" t="s">
        <v>13</v>
      </c>
      <c r="K129" s="9">
        <v>50</v>
      </c>
      <c r="L129" s="9" t="s">
        <v>47</v>
      </c>
    </row>
    <row r="130" spans="1:12" x14ac:dyDescent="0.35">
      <c r="A130" s="16">
        <v>100057</v>
      </c>
      <c r="B130" s="10">
        <v>46163</v>
      </c>
      <c r="C130" s="9">
        <v>5</v>
      </c>
      <c r="D130" s="9">
        <v>613100</v>
      </c>
      <c r="E130" t="s">
        <v>48</v>
      </c>
      <c r="F130" t="s">
        <v>45</v>
      </c>
      <c r="G130">
        <v>10000</v>
      </c>
      <c r="H130" t="s">
        <v>13</v>
      </c>
      <c r="I130" s="9">
        <v>10000</v>
      </c>
      <c r="J130" s="9" t="s">
        <v>13</v>
      </c>
      <c r="K130" s="9">
        <v>40</v>
      </c>
      <c r="L130" s="9" t="s">
        <v>49</v>
      </c>
    </row>
    <row r="131" spans="1:12" x14ac:dyDescent="0.35">
      <c r="A131" s="16">
        <v>100058</v>
      </c>
      <c r="B131" s="10">
        <v>46164</v>
      </c>
      <c r="C131" s="9">
        <v>5</v>
      </c>
      <c r="D131" s="9">
        <v>514100</v>
      </c>
      <c r="E131" t="s">
        <v>15</v>
      </c>
      <c r="F131" t="s">
        <v>12</v>
      </c>
      <c r="G131">
        <v>7900</v>
      </c>
      <c r="H131" t="s">
        <v>13</v>
      </c>
      <c r="I131" s="9">
        <v>7900</v>
      </c>
      <c r="J131" s="9" t="s">
        <v>13</v>
      </c>
      <c r="K131" s="9">
        <v>50</v>
      </c>
      <c r="L131" s="9" t="s">
        <v>50</v>
      </c>
    </row>
    <row r="132" spans="1:12" x14ac:dyDescent="0.35">
      <c r="A132" s="16">
        <v>100058</v>
      </c>
      <c r="B132" s="10">
        <v>46164</v>
      </c>
      <c r="C132" s="9">
        <v>5</v>
      </c>
      <c r="D132" s="9">
        <v>614100</v>
      </c>
      <c r="E132" t="s">
        <v>51</v>
      </c>
      <c r="F132" t="s">
        <v>22</v>
      </c>
      <c r="G132">
        <v>7900</v>
      </c>
      <c r="H132" t="s">
        <v>13</v>
      </c>
      <c r="I132" s="9">
        <v>7900</v>
      </c>
      <c r="J132" s="9" t="s">
        <v>13</v>
      </c>
      <c r="K132" s="9">
        <v>40</v>
      </c>
      <c r="L132" s="9" t="s">
        <v>52</v>
      </c>
    </row>
    <row r="133" spans="1:12" x14ac:dyDescent="0.35">
      <c r="A133" s="16">
        <v>100059</v>
      </c>
      <c r="B133" s="10">
        <v>46165</v>
      </c>
      <c r="C133" s="9">
        <v>5</v>
      </c>
      <c r="D133" s="9">
        <v>514100</v>
      </c>
      <c r="E133" t="s">
        <v>15</v>
      </c>
      <c r="F133" t="s">
        <v>12</v>
      </c>
      <c r="G133">
        <v>5500</v>
      </c>
      <c r="H133" t="s">
        <v>13</v>
      </c>
      <c r="I133" s="9">
        <v>5500</v>
      </c>
      <c r="J133" s="9" t="s">
        <v>13</v>
      </c>
      <c r="K133" s="9">
        <v>50</v>
      </c>
      <c r="L133" s="9" t="s">
        <v>53</v>
      </c>
    </row>
    <row r="134" spans="1:12" x14ac:dyDescent="0.35">
      <c r="A134" s="16">
        <v>100059</v>
      </c>
      <c r="B134" s="10">
        <v>46165</v>
      </c>
      <c r="C134" s="9">
        <v>5</v>
      </c>
      <c r="D134" s="9">
        <v>618100</v>
      </c>
      <c r="E134" t="s">
        <v>54</v>
      </c>
      <c r="F134" t="s">
        <v>55</v>
      </c>
      <c r="G134">
        <v>5500</v>
      </c>
      <c r="H134" t="s">
        <v>13</v>
      </c>
      <c r="I134" s="9">
        <v>5500</v>
      </c>
      <c r="J134" s="9" t="s">
        <v>13</v>
      </c>
      <c r="K134" s="9">
        <v>40</v>
      </c>
      <c r="L134" s="9" t="s">
        <v>56</v>
      </c>
    </row>
    <row r="135" spans="1:12" x14ac:dyDescent="0.35">
      <c r="A135" s="16">
        <v>100060</v>
      </c>
      <c r="B135" s="10">
        <v>46169</v>
      </c>
      <c r="C135" s="9">
        <v>5</v>
      </c>
      <c r="D135" s="9">
        <v>311100</v>
      </c>
      <c r="E135" t="s">
        <v>57</v>
      </c>
      <c r="F135" t="s">
        <v>12</v>
      </c>
      <c r="G135">
        <v>8000</v>
      </c>
      <c r="H135" t="s">
        <v>13</v>
      </c>
      <c r="I135" s="9">
        <v>8000</v>
      </c>
      <c r="J135" s="9" t="s">
        <v>13</v>
      </c>
      <c r="K135" s="9">
        <v>50</v>
      </c>
      <c r="L135" s="9" t="s">
        <v>59</v>
      </c>
    </row>
    <row r="136" spans="1:12" x14ac:dyDescent="0.35">
      <c r="A136" s="16">
        <v>100060</v>
      </c>
      <c r="B136" s="10">
        <v>46169</v>
      </c>
      <c r="C136" s="9">
        <v>5</v>
      </c>
      <c r="D136" s="9">
        <v>611100</v>
      </c>
      <c r="E136" t="s">
        <v>21</v>
      </c>
      <c r="F136" t="s">
        <v>22</v>
      </c>
      <c r="G136">
        <v>8000</v>
      </c>
      <c r="H136" t="s">
        <v>13</v>
      </c>
      <c r="I136" s="9">
        <v>8000</v>
      </c>
      <c r="J136" s="9" t="s">
        <v>13</v>
      </c>
      <c r="K136" s="9">
        <v>40</v>
      </c>
      <c r="L136" s="9" t="s">
        <v>63</v>
      </c>
    </row>
    <row r="137" spans="1:12" x14ac:dyDescent="0.35">
      <c r="A137" s="16">
        <v>100061</v>
      </c>
      <c r="B137" s="10">
        <v>46170</v>
      </c>
      <c r="C137" s="9">
        <v>5</v>
      </c>
      <c r="D137" s="9">
        <v>514100</v>
      </c>
      <c r="E137" t="s">
        <v>15</v>
      </c>
      <c r="F137" t="s">
        <v>12</v>
      </c>
      <c r="G137">
        <v>7000</v>
      </c>
      <c r="H137" t="s">
        <v>13</v>
      </c>
      <c r="I137" s="9">
        <v>7000</v>
      </c>
      <c r="J137" s="9" t="s">
        <v>13</v>
      </c>
      <c r="K137" s="9">
        <v>50</v>
      </c>
      <c r="L137" s="9" t="s">
        <v>60</v>
      </c>
    </row>
    <row r="138" spans="1:12" x14ac:dyDescent="0.35">
      <c r="A138" s="16">
        <v>100061</v>
      </c>
      <c r="B138" s="10">
        <v>46170</v>
      </c>
      <c r="C138" s="9">
        <v>5</v>
      </c>
      <c r="D138" s="9">
        <v>619100</v>
      </c>
      <c r="E138" t="s">
        <v>61</v>
      </c>
      <c r="F138" t="s">
        <v>55</v>
      </c>
      <c r="G138">
        <v>7000</v>
      </c>
      <c r="H138" t="s">
        <v>13</v>
      </c>
      <c r="I138" s="9">
        <v>7000</v>
      </c>
      <c r="J138" s="9" t="s">
        <v>13</v>
      </c>
      <c r="K138" s="9">
        <v>40</v>
      </c>
      <c r="L138" s="9" t="s">
        <v>62</v>
      </c>
    </row>
    <row r="139" spans="1:12" x14ac:dyDescent="0.35">
      <c r="A139" s="16">
        <v>100062</v>
      </c>
      <c r="B139" s="10">
        <v>46178</v>
      </c>
      <c r="C139" s="9">
        <v>6</v>
      </c>
      <c r="D139" s="9">
        <v>345500</v>
      </c>
      <c r="E139" t="s">
        <v>17</v>
      </c>
      <c r="F139" t="s">
        <v>12</v>
      </c>
      <c r="G139">
        <v>15800</v>
      </c>
      <c r="H139" t="s">
        <v>13</v>
      </c>
      <c r="I139" s="9">
        <v>15800</v>
      </c>
      <c r="J139" s="9" t="s">
        <v>13</v>
      </c>
      <c r="K139" s="9">
        <v>40</v>
      </c>
      <c r="L139" s="9" t="s">
        <v>18</v>
      </c>
    </row>
    <row r="140" spans="1:12" x14ac:dyDescent="0.35">
      <c r="A140" s="16">
        <v>100062</v>
      </c>
      <c r="B140" s="10">
        <v>46178</v>
      </c>
      <c r="C140" s="9">
        <v>6</v>
      </c>
      <c r="D140" s="9">
        <v>441100</v>
      </c>
      <c r="E140" t="s">
        <v>19</v>
      </c>
      <c r="F140" t="s">
        <v>12</v>
      </c>
      <c r="G140">
        <v>94800</v>
      </c>
      <c r="H140" t="s">
        <v>13</v>
      </c>
      <c r="I140" s="9">
        <v>94800</v>
      </c>
      <c r="J140" s="9" t="s">
        <v>13</v>
      </c>
      <c r="K140" s="9">
        <v>50</v>
      </c>
      <c r="L140" s="9" t="s">
        <v>20</v>
      </c>
    </row>
    <row r="141" spans="1:12" x14ac:dyDescent="0.35">
      <c r="A141" s="16">
        <v>100062</v>
      </c>
      <c r="B141" s="10">
        <v>46178</v>
      </c>
      <c r="C141" s="9">
        <v>6</v>
      </c>
      <c r="D141" s="9">
        <v>611100</v>
      </c>
      <c r="E141" t="s">
        <v>21</v>
      </c>
      <c r="F141" t="s">
        <v>22</v>
      </c>
      <c r="G141">
        <v>79000</v>
      </c>
      <c r="H141" t="s">
        <v>13</v>
      </c>
      <c r="I141" s="9">
        <v>79000</v>
      </c>
      <c r="J141" s="9" t="s">
        <v>13</v>
      </c>
      <c r="K141" s="9">
        <v>40</v>
      </c>
      <c r="L141" s="9" t="s">
        <v>23</v>
      </c>
    </row>
    <row r="142" spans="1:12" x14ac:dyDescent="0.35">
      <c r="A142" s="16">
        <v>100063</v>
      </c>
      <c r="B142" s="10">
        <v>46181</v>
      </c>
      <c r="C142" s="9">
        <v>6</v>
      </c>
      <c r="D142" s="9">
        <v>345500</v>
      </c>
      <c r="E142" t="s">
        <v>17</v>
      </c>
      <c r="F142" t="s">
        <v>12</v>
      </c>
      <c r="G142">
        <v>9356.7999999999993</v>
      </c>
      <c r="H142" t="s">
        <v>13</v>
      </c>
      <c r="I142" s="9">
        <v>9356.7999999999993</v>
      </c>
      <c r="J142" s="9" t="s">
        <v>13</v>
      </c>
      <c r="K142" s="9">
        <v>40</v>
      </c>
      <c r="L142" s="9" t="s">
        <v>24</v>
      </c>
    </row>
    <row r="143" spans="1:12" x14ac:dyDescent="0.35">
      <c r="A143" s="16">
        <v>100063</v>
      </c>
      <c r="B143" s="10">
        <v>46181</v>
      </c>
      <c r="C143" s="9">
        <v>6</v>
      </c>
      <c r="D143" s="9">
        <v>441100</v>
      </c>
      <c r="E143" t="s">
        <v>19</v>
      </c>
      <c r="F143" t="s">
        <v>12</v>
      </c>
      <c r="G143">
        <v>56140.800000000003</v>
      </c>
      <c r="H143" t="s">
        <v>13</v>
      </c>
      <c r="I143" s="9">
        <v>56140.800000000003</v>
      </c>
      <c r="J143" s="9" t="s">
        <v>13</v>
      </c>
      <c r="K143" s="9">
        <v>50</v>
      </c>
      <c r="L143" s="9" t="s">
        <v>25</v>
      </c>
    </row>
    <row r="144" spans="1:12" x14ac:dyDescent="0.35">
      <c r="A144" s="16">
        <v>100063</v>
      </c>
      <c r="B144" s="10">
        <v>46181</v>
      </c>
      <c r="C144" s="9">
        <v>6</v>
      </c>
      <c r="D144" s="9">
        <v>611100</v>
      </c>
      <c r="E144" t="s">
        <v>21</v>
      </c>
      <c r="F144" t="s">
        <v>22</v>
      </c>
      <c r="G144">
        <v>4300</v>
      </c>
      <c r="H144" t="s">
        <v>26</v>
      </c>
      <c r="I144" s="9">
        <v>46784</v>
      </c>
      <c r="J144" s="9" t="s">
        <v>13</v>
      </c>
      <c r="K144" s="9">
        <v>40</v>
      </c>
      <c r="L144" s="9" t="s">
        <v>27</v>
      </c>
    </row>
    <row r="145" spans="1:12" x14ac:dyDescent="0.35">
      <c r="A145" s="16">
        <v>100064</v>
      </c>
      <c r="B145" s="10">
        <v>46183</v>
      </c>
      <c r="C145" s="9">
        <v>6</v>
      </c>
      <c r="D145" s="9">
        <v>342100</v>
      </c>
      <c r="E145" t="s">
        <v>28</v>
      </c>
      <c r="F145" t="s">
        <v>12</v>
      </c>
      <c r="G145">
        <v>150000</v>
      </c>
      <c r="H145" t="s">
        <v>13</v>
      </c>
      <c r="I145" s="9">
        <v>150000</v>
      </c>
      <c r="J145" s="9" t="s">
        <v>13</v>
      </c>
      <c r="K145" s="9">
        <v>40</v>
      </c>
      <c r="L145" s="9" t="s">
        <v>29</v>
      </c>
    </row>
    <row r="146" spans="1:12" x14ac:dyDescent="0.35">
      <c r="A146" s="16">
        <v>100064</v>
      </c>
      <c r="B146" s="10">
        <v>46183</v>
      </c>
      <c r="C146" s="9">
        <v>6</v>
      </c>
      <c r="D146" s="9">
        <v>445500</v>
      </c>
      <c r="E146" t="s">
        <v>30</v>
      </c>
      <c r="F146" t="s">
        <v>12</v>
      </c>
      <c r="G146">
        <v>25000</v>
      </c>
      <c r="H146" t="s">
        <v>13</v>
      </c>
      <c r="I146" s="9">
        <v>25000</v>
      </c>
      <c r="J146" s="9" t="s">
        <v>13</v>
      </c>
      <c r="K146" s="9">
        <v>50</v>
      </c>
      <c r="L146" s="9" t="s">
        <v>31</v>
      </c>
    </row>
    <row r="147" spans="1:12" x14ac:dyDescent="0.35">
      <c r="A147" s="16">
        <v>100064</v>
      </c>
      <c r="B147" s="10">
        <v>46183</v>
      </c>
      <c r="C147" s="9">
        <v>6</v>
      </c>
      <c r="D147" s="9">
        <v>711100</v>
      </c>
      <c r="E147" t="s">
        <v>32</v>
      </c>
      <c r="F147" t="s">
        <v>33</v>
      </c>
      <c r="G147">
        <v>125000</v>
      </c>
      <c r="H147" t="s">
        <v>13</v>
      </c>
      <c r="I147" s="9">
        <v>125000</v>
      </c>
      <c r="J147" s="9" t="s">
        <v>13</v>
      </c>
      <c r="K147" s="9">
        <v>50</v>
      </c>
      <c r="L147" s="9" t="s">
        <v>34</v>
      </c>
    </row>
    <row r="148" spans="1:12" x14ac:dyDescent="0.35">
      <c r="A148" s="16">
        <v>100065</v>
      </c>
      <c r="B148" s="10">
        <v>46188</v>
      </c>
      <c r="C148" s="9">
        <v>6</v>
      </c>
      <c r="D148" s="9">
        <v>342100</v>
      </c>
      <c r="E148" t="s">
        <v>28</v>
      </c>
      <c r="F148" t="s">
        <v>12</v>
      </c>
      <c r="G148">
        <v>6200</v>
      </c>
      <c r="H148" t="s">
        <v>35</v>
      </c>
      <c r="I148" s="9">
        <v>61256</v>
      </c>
      <c r="J148" s="9" t="s">
        <v>13</v>
      </c>
      <c r="K148" s="9">
        <v>40</v>
      </c>
      <c r="L148" s="9" t="s">
        <v>36</v>
      </c>
    </row>
    <row r="149" spans="1:12" x14ac:dyDescent="0.35">
      <c r="A149" s="16">
        <v>100065</v>
      </c>
      <c r="B149" s="10">
        <v>46188</v>
      </c>
      <c r="C149" s="9">
        <v>6</v>
      </c>
      <c r="D149" s="9">
        <v>712100</v>
      </c>
      <c r="E149" t="s">
        <v>37</v>
      </c>
      <c r="F149" t="s">
        <v>33</v>
      </c>
      <c r="G149">
        <v>6200</v>
      </c>
      <c r="H149" t="s">
        <v>35</v>
      </c>
      <c r="I149" s="9">
        <v>61256</v>
      </c>
      <c r="J149" s="9" t="s">
        <v>13</v>
      </c>
      <c r="K149" s="9">
        <v>50</v>
      </c>
      <c r="L149" s="9" t="s">
        <v>38</v>
      </c>
    </row>
    <row r="150" spans="1:12" x14ac:dyDescent="0.35">
      <c r="A150" s="16">
        <v>100066</v>
      </c>
      <c r="B150" s="10">
        <v>46191</v>
      </c>
      <c r="C150" s="9">
        <v>6</v>
      </c>
      <c r="D150" s="9">
        <v>342100</v>
      </c>
      <c r="E150" t="s">
        <v>28</v>
      </c>
      <c r="F150" t="s">
        <v>12</v>
      </c>
      <c r="G150">
        <v>110000</v>
      </c>
      <c r="H150" t="s">
        <v>13</v>
      </c>
      <c r="I150" s="9">
        <v>110000</v>
      </c>
      <c r="J150" s="9" t="s">
        <v>13</v>
      </c>
      <c r="K150" s="9">
        <v>50</v>
      </c>
      <c r="L150" s="9" t="s">
        <v>39</v>
      </c>
    </row>
    <row r="151" spans="1:12" x14ac:dyDescent="0.35">
      <c r="A151" s="16">
        <v>100066</v>
      </c>
      <c r="B151" s="10">
        <v>46191</v>
      </c>
      <c r="C151" s="9">
        <v>6</v>
      </c>
      <c r="D151" s="9">
        <v>514100</v>
      </c>
      <c r="E151" t="s">
        <v>15</v>
      </c>
      <c r="F151" t="s">
        <v>12</v>
      </c>
      <c r="G151">
        <v>110000</v>
      </c>
      <c r="H151" t="s">
        <v>13</v>
      </c>
      <c r="I151" s="9">
        <v>110000</v>
      </c>
      <c r="J151" s="9" t="s">
        <v>13</v>
      </c>
      <c r="K151" s="9">
        <v>40</v>
      </c>
      <c r="L151" s="9" t="s">
        <v>40</v>
      </c>
    </row>
    <row r="152" spans="1:12" x14ac:dyDescent="0.35">
      <c r="A152" s="16">
        <v>100067</v>
      </c>
      <c r="B152" s="10">
        <v>46192</v>
      </c>
      <c r="C152" s="9">
        <v>6</v>
      </c>
      <c r="D152" s="9">
        <v>441100</v>
      </c>
      <c r="E152" t="s">
        <v>19</v>
      </c>
      <c r="F152" t="s">
        <v>12</v>
      </c>
      <c r="G152">
        <v>67000</v>
      </c>
      <c r="H152" t="s">
        <v>13</v>
      </c>
      <c r="I152" s="9">
        <v>67000</v>
      </c>
      <c r="J152" s="9" t="s">
        <v>13</v>
      </c>
      <c r="K152" s="9">
        <v>40</v>
      </c>
      <c r="L152" s="9" t="s">
        <v>41</v>
      </c>
    </row>
    <row r="153" spans="1:12" x14ac:dyDescent="0.35">
      <c r="A153" s="16">
        <v>100067</v>
      </c>
      <c r="B153" s="10">
        <v>46192</v>
      </c>
      <c r="C153" s="9">
        <v>6</v>
      </c>
      <c r="D153" s="9">
        <v>514100</v>
      </c>
      <c r="E153" t="s">
        <v>15</v>
      </c>
      <c r="F153" t="s">
        <v>12</v>
      </c>
      <c r="G153">
        <v>67000</v>
      </c>
      <c r="H153" t="s">
        <v>13</v>
      </c>
      <c r="I153" s="9">
        <v>67000</v>
      </c>
      <c r="J153" s="9" t="s">
        <v>13</v>
      </c>
      <c r="K153" s="9">
        <v>50</v>
      </c>
      <c r="L153" s="9" t="s">
        <v>42</v>
      </c>
    </row>
    <row r="154" spans="1:12" x14ac:dyDescent="0.35">
      <c r="A154" s="16">
        <v>100068</v>
      </c>
      <c r="B154" s="10">
        <v>46193</v>
      </c>
      <c r="C154" s="9">
        <v>6</v>
      </c>
      <c r="D154" s="9">
        <v>514100</v>
      </c>
      <c r="E154" t="s">
        <v>15</v>
      </c>
      <c r="F154" t="s">
        <v>12</v>
      </c>
      <c r="G154">
        <v>39500</v>
      </c>
      <c r="H154" t="s">
        <v>13</v>
      </c>
      <c r="I154" s="9">
        <v>39500</v>
      </c>
      <c r="J154" s="9" t="s">
        <v>13</v>
      </c>
      <c r="K154" s="9">
        <v>50</v>
      </c>
      <c r="L154" s="9" t="s">
        <v>43</v>
      </c>
    </row>
    <row r="155" spans="1:12" x14ac:dyDescent="0.35">
      <c r="A155" s="16">
        <v>100068</v>
      </c>
      <c r="B155" s="10">
        <v>46193</v>
      </c>
      <c r="C155" s="9">
        <v>6</v>
      </c>
      <c r="D155" s="9">
        <v>617100</v>
      </c>
      <c r="E155" t="s">
        <v>44</v>
      </c>
      <c r="F155" t="s">
        <v>45</v>
      </c>
      <c r="G155">
        <v>39500</v>
      </c>
      <c r="H155" t="s">
        <v>13</v>
      </c>
      <c r="I155" s="9">
        <v>39500</v>
      </c>
      <c r="J155" s="9" t="s">
        <v>13</v>
      </c>
      <c r="K155" s="9">
        <v>40</v>
      </c>
      <c r="L155" s="9" t="s">
        <v>46</v>
      </c>
    </row>
    <row r="156" spans="1:12" x14ac:dyDescent="0.35">
      <c r="A156" s="16">
        <v>100069</v>
      </c>
      <c r="B156" s="10">
        <v>46194</v>
      </c>
      <c r="C156" s="9">
        <v>6</v>
      </c>
      <c r="D156" s="9">
        <v>514100</v>
      </c>
      <c r="E156" t="s">
        <v>15</v>
      </c>
      <c r="F156" t="s">
        <v>12</v>
      </c>
      <c r="G156">
        <v>10000</v>
      </c>
      <c r="H156" t="s">
        <v>13</v>
      </c>
      <c r="I156" s="9">
        <v>10000</v>
      </c>
      <c r="J156" s="9" t="s">
        <v>13</v>
      </c>
      <c r="K156" s="9">
        <v>50</v>
      </c>
      <c r="L156" s="9" t="s">
        <v>47</v>
      </c>
    </row>
    <row r="157" spans="1:12" x14ac:dyDescent="0.35">
      <c r="A157" s="16">
        <v>100069</v>
      </c>
      <c r="B157" s="10">
        <v>46194</v>
      </c>
      <c r="C157" s="9">
        <v>6</v>
      </c>
      <c r="D157" s="9">
        <v>613100</v>
      </c>
      <c r="E157" t="s">
        <v>48</v>
      </c>
      <c r="F157" t="s">
        <v>45</v>
      </c>
      <c r="G157">
        <v>10000</v>
      </c>
      <c r="H157" t="s">
        <v>13</v>
      </c>
      <c r="I157" s="9">
        <v>10000</v>
      </c>
      <c r="J157" s="9" t="s">
        <v>13</v>
      </c>
      <c r="K157" s="9">
        <v>40</v>
      </c>
      <c r="L157" s="9" t="s">
        <v>49</v>
      </c>
    </row>
    <row r="158" spans="1:12" x14ac:dyDescent="0.35">
      <c r="A158" s="16">
        <v>100070</v>
      </c>
      <c r="B158" s="10">
        <v>46195</v>
      </c>
      <c r="C158" s="9">
        <v>6</v>
      </c>
      <c r="D158" s="9">
        <v>514100</v>
      </c>
      <c r="E158" t="s">
        <v>15</v>
      </c>
      <c r="F158" t="s">
        <v>12</v>
      </c>
      <c r="G158">
        <v>8200</v>
      </c>
      <c r="H158" t="s">
        <v>13</v>
      </c>
      <c r="I158" s="9">
        <v>8200</v>
      </c>
      <c r="J158" s="9" t="s">
        <v>13</v>
      </c>
      <c r="K158" s="9">
        <v>50</v>
      </c>
      <c r="L158" s="9" t="s">
        <v>50</v>
      </c>
    </row>
    <row r="159" spans="1:12" x14ac:dyDescent="0.35">
      <c r="A159" s="16">
        <v>100070</v>
      </c>
      <c r="B159" s="10">
        <v>46195</v>
      </c>
      <c r="C159" s="9">
        <v>6</v>
      </c>
      <c r="D159" s="9">
        <v>614100</v>
      </c>
      <c r="E159" t="s">
        <v>51</v>
      </c>
      <c r="F159" t="s">
        <v>22</v>
      </c>
      <c r="G159">
        <v>8200</v>
      </c>
      <c r="H159" t="s">
        <v>13</v>
      </c>
      <c r="I159" s="9">
        <v>8200</v>
      </c>
      <c r="J159" s="9" t="s">
        <v>13</v>
      </c>
      <c r="K159" s="9">
        <v>40</v>
      </c>
      <c r="L159" s="9" t="s">
        <v>52</v>
      </c>
    </row>
    <row r="160" spans="1:12" x14ac:dyDescent="0.35">
      <c r="A160" s="16">
        <v>100071</v>
      </c>
      <c r="B160" s="10">
        <v>46196</v>
      </c>
      <c r="C160" s="9">
        <v>6</v>
      </c>
      <c r="D160" s="9">
        <v>514100</v>
      </c>
      <c r="E160" t="s">
        <v>15</v>
      </c>
      <c r="F160" t="s">
        <v>12</v>
      </c>
      <c r="G160">
        <v>6500</v>
      </c>
      <c r="H160" t="s">
        <v>13</v>
      </c>
      <c r="I160" s="9">
        <v>6500</v>
      </c>
      <c r="J160" s="9" t="s">
        <v>13</v>
      </c>
      <c r="K160" s="9">
        <v>50</v>
      </c>
      <c r="L160" s="9" t="s">
        <v>53</v>
      </c>
    </row>
    <row r="161" spans="1:12" x14ac:dyDescent="0.35">
      <c r="A161" s="16">
        <v>100071</v>
      </c>
      <c r="B161" s="10">
        <v>46196</v>
      </c>
      <c r="C161" s="9">
        <v>6</v>
      </c>
      <c r="D161" s="9">
        <v>618100</v>
      </c>
      <c r="E161" t="s">
        <v>54</v>
      </c>
      <c r="F161" t="s">
        <v>55</v>
      </c>
      <c r="G161">
        <v>6500</v>
      </c>
      <c r="H161" t="s">
        <v>13</v>
      </c>
      <c r="I161" s="9">
        <v>6500</v>
      </c>
      <c r="J161" s="9" t="s">
        <v>13</v>
      </c>
      <c r="K161" s="9">
        <v>40</v>
      </c>
      <c r="L161" s="9" t="s">
        <v>56</v>
      </c>
    </row>
    <row r="162" spans="1:12" x14ac:dyDescent="0.35">
      <c r="A162" s="16">
        <v>100072</v>
      </c>
      <c r="B162" s="10">
        <v>46200</v>
      </c>
      <c r="C162" s="9">
        <v>6</v>
      </c>
      <c r="D162" s="9">
        <v>311100</v>
      </c>
      <c r="E162" t="s">
        <v>57</v>
      </c>
      <c r="F162" t="s">
        <v>12</v>
      </c>
      <c r="G162">
        <v>15000</v>
      </c>
      <c r="H162" t="s">
        <v>13</v>
      </c>
      <c r="I162" s="9">
        <v>15000</v>
      </c>
      <c r="J162" s="9" t="s">
        <v>13</v>
      </c>
      <c r="K162" s="9">
        <v>40</v>
      </c>
      <c r="L162" s="9" t="s">
        <v>58</v>
      </c>
    </row>
    <row r="163" spans="1:12" x14ac:dyDescent="0.35">
      <c r="A163" s="16">
        <v>100072</v>
      </c>
      <c r="B163" s="10">
        <v>46200</v>
      </c>
      <c r="C163" s="9">
        <v>6</v>
      </c>
      <c r="D163" s="9">
        <v>611100</v>
      </c>
      <c r="E163" t="s">
        <v>21</v>
      </c>
      <c r="F163" t="s">
        <v>22</v>
      </c>
      <c r="G163">
        <v>15000</v>
      </c>
      <c r="H163" t="s">
        <v>13</v>
      </c>
      <c r="I163" s="9">
        <v>15000</v>
      </c>
      <c r="J163" s="9" t="s">
        <v>13</v>
      </c>
      <c r="K163" s="9">
        <v>50</v>
      </c>
      <c r="L163" s="9" t="s">
        <v>59</v>
      </c>
    </row>
    <row r="164" spans="1:12" x14ac:dyDescent="0.35">
      <c r="A164" s="16">
        <v>100073</v>
      </c>
      <c r="B164" s="10">
        <v>46201</v>
      </c>
      <c r="C164" s="9">
        <v>6</v>
      </c>
      <c r="D164" s="9">
        <v>514100</v>
      </c>
      <c r="E164" t="s">
        <v>15</v>
      </c>
      <c r="F164" t="s">
        <v>12</v>
      </c>
      <c r="G164">
        <v>7000</v>
      </c>
      <c r="H164" t="s">
        <v>13</v>
      </c>
      <c r="I164" s="9">
        <v>7000</v>
      </c>
      <c r="J164" s="9" t="s">
        <v>13</v>
      </c>
      <c r="K164" s="9">
        <v>50</v>
      </c>
      <c r="L164" s="9" t="s">
        <v>60</v>
      </c>
    </row>
    <row r="165" spans="1:12" x14ac:dyDescent="0.35">
      <c r="A165" s="16">
        <v>100073</v>
      </c>
      <c r="B165" s="10">
        <v>46201</v>
      </c>
      <c r="C165" s="9">
        <v>6</v>
      </c>
      <c r="D165" s="9">
        <v>619100</v>
      </c>
      <c r="E165" t="s">
        <v>61</v>
      </c>
      <c r="F165" t="s">
        <v>55</v>
      </c>
      <c r="G165">
        <v>7000</v>
      </c>
      <c r="H165" t="s">
        <v>13</v>
      </c>
      <c r="I165" s="9">
        <v>7000</v>
      </c>
      <c r="J165" s="9" t="s">
        <v>13</v>
      </c>
      <c r="K165" s="9">
        <v>40</v>
      </c>
      <c r="L165" s="9" t="s">
        <v>62</v>
      </c>
    </row>
    <row r="166" spans="1:12" x14ac:dyDescent="0.35">
      <c r="A166" s="16">
        <v>100074</v>
      </c>
      <c r="B166" s="10">
        <v>46052</v>
      </c>
      <c r="C166" s="9">
        <v>1</v>
      </c>
      <c r="D166" s="9">
        <v>514100</v>
      </c>
      <c r="E166" t="s">
        <v>15</v>
      </c>
      <c r="F166" t="s">
        <v>12</v>
      </c>
      <c r="G166">
        <v>3200</v>
      </c>
      <c r="H166" t="s">
        <v>13</v>
      </c>
      <c r="I166" s="9">
        <v>3200</v>
      </c>
      <c r="J166" s="9" t="s">
        <v>13</v>
      </c>
      <c r="K166" s="9">
        <v>50</v>
      </c>
      <c r="L166" s="9" t="s">
        <v>64</v>
      </c>
    </row>
    <row r="167" spans="1:12" x14ac:dyDescent="0.35">
      <c r="A167" s="16">
        <v>100074</v>
      </c>
      <c r="B167" s="10">
        <v>46052</v>
      </c>
      <c r="C167" s="9">
        <v>1</v>
      </c>
      <c r="D167" s="9">
        <v>614100</v>
      </c>
      <c r="E167" t="s">
        <v>51</v>
      </c>
      <c r="F167" t="s">
        <v>33</v>
      </c>
      <c r="G167">
        <v>3200</v>
      </c>
      <c r="H167" t="s">
        <v>13</v>
      </c>
      <c r="I167" s="9">
        <v>3200</v>
      </c>
      <c r="J167" s="9" t="s">
        <v>13</v>
      </c>
      <c r="K167" s="9">
        <v>40</v>
      </c>
      <c r="L167" s="9" t="s">
        <v>65</v>
      </c>
    </row>
    <row r="168" spans="1:12" x14ac:dyDescent="0.35">
      <c r="A168" s="16">
        <v>100075</v>
      </c>
      <c r="B168" s="9" t="s">
        <v>66</v>
      </c>
      <c r="C168" s="9">
        <v>2</v>
      </c>
      <c r="D168" s="9">
        <v>514100</v>
      </c>
      <c r="E168" t="s">
        <v>15</v>
      </c>
      <c r="F168" t="s">
        <v>12</v>
      </c>
      <c r="G168">
        <v>2800</v>
      </c>
      <c r="H168" t="s">
        <v>13</v>
      </c>
      <c r="I168" s="9">
        <v>2800</v>
      </c>
      <c r="J168" s="9" t="s">
        <v>13</v>
      </c>
      <c r="K168" s="9">
        <v>50</v>
      </c>
      <c r="L168" s="9" t="s">
        <v>67</v>
      </c>
    </row>
    <row r="169" spans="1:12" x14ac:dyDescent="0.35">
      <c r="A169" s="16">
        <v>100075</v>
      </c>
      <c r="B169" s="9" t="s">
        <v>66</v>
      </c>
      <c r="C169" s="9">
        <v>2</v>
      </c>
      <c r="D169" s="9">
        <v>618100</v>
      </c>
      <c r="E169" t="s">
        <v>54</v>
      </c>
      <c r="F169" t="s">
        <v>45</v>
      </c>
      <c r="G169">
        <v>2800</v>
      </c>
      <c r="H169" t="s">
        <v>13</v>
      </c>
      <c r="I169" s="9">
        <v>2800</v>
      </c>
      <c r="J169" s="9" t="s">
        <v>13</v>
      </c>
      <c r="K169" s="9">
        <v>40</v>
      </c>
      <c r="L169" s="9" t="s">
        <v>68</v>
      </c>
    </row>
    <row r="170" spans="1:12" x14ac:dyDescent="0.35">
      <c r="A170" s="16">
        <v>100076</v>
      </c>
      <c r="B170" s="10">
        <v>46111</v>
      </c>
      <c r="C170" s="9">
        <v>3</v>
      </c>
      <c r="D170" s="9">
        <v>514100</v>
      </c>
      <c r="E170" t="s">
        <v>15</v>
      </c>
      <c r="F170" t="s">
        <v>12</v>
      </c>
      <c r="G170">
        <v>4100</v>
      </c>
      <c r="H170" t="s">
        <v>13</v>
      </c>
      <c r="I170" s="9">
        <v>4100</v>
      </c>
      <c r="J170" s="9" t="s">
        <v>13</v>
      </c>
      <c r="K170" s="9">
        <v>50</v>
      </c>
      <c r="L170" s="9" t="s">
        <v>69</v>
      </c>
    </row>
    <row r="171" spans="1:12" x14ac:dyDescent="0.35">
      <c r="A171" s="16">
        <v>100076</v>
      </c>
      <c r="B171" s="10">
        <v>46111</v>
      </c>
      <c r="C171" s="9">
        <v>3</v>
      </c>
      <c r="D171" s="9">
        <v>614100</v>
      </c>
      <c r="E171" t="s">
        <v>51</v>
      </c>
      <c r="F171" t="s">
        <v>33</v>
      </c>
      <c r="G171">
        <v>4100</v>
      </c>
      <c r="H171" t="s">
        <v>13</v>
      </c>
      <c r="I171" s="9">
        <v>4100</v>
      </c>
      <c r="J171" s="9" t="s">
        <v>13</v>
      </c>
      <c r="K171" s="9">
        <v>40</v>
      </c>
      <c r="L171" s="9" t="s">
        <v>70</v>
      </c>
    </row>
    <row r="172" spans="1:12" x14ac:dyDescent="0.35">
      <c r="A172" s="16">
        <v>100077</v>
      </c>
      <c r="B172" s="10">
        <v>46142</v>
      </c>
      <c r="C172" s="9">
        <v>4</v>
      </c>
      <c r="D172" s="9">
        <v>514100</v>
      </c>
      <c r="E172" t="s">
        <v>15</v>
      </c>
      <c r="F172" t="s">
        <v>12</v>
      </c>
      <c r="G172">
        <v>3600</v>
      </c>
      <c r="H172" t="s">
        <v>13</v>
      </c>
      <c r="I172" s="9">
        <v>3600</v>
      </c>
      <c r="J172" s="9" t="s">
        <v>13</v>
      </c>
      <c r="K172" s="9">
        <v>50</v>
      </c>
      <c r="L172" s="9" t="s">
        <v>71</v>
      </c>
    </row>
    <row r="173" spans="1:12" x14ac:dyDescent="0.35">
      <c r="A173" s="16">
        <v>100077</v>
      </c>
      <c r="B173" s="10">
        <v>46142</v>
      </c>
      <c r="C173" s="9">
        <v>4</v>
      </c>
      <c r="D173" s="9">
        <v>618100</v>
      </c>
      <c r="E173" t="s">
        <v>54</v>
      </c>
      <c r="F173" t="s">
        <v>55</v>
      </c>
      <c r="G173">
        <v>3600</v>
      </c>
      <c r="H173" t="s">
        <v>13</v>
      </c>
      <c r="I173" s="9">
        <v>3600</v>
      </c>
      <c r="J173" s="9" t="s">
        <v>13</v>
      </c>
      <c r="K173" s="9">
        <v>40</v>
      </c>
      <c r="L173" s="9" t="s">
        <v>72</v>
      </c>
    </row>
    <row r="174" spans="1:12" x14ac:dyDescent="0.35">
      <c r="A174" s="16">
        <v>100078</v>
      </c>
      <c r="B174" s="10">
        <v>46172</v>
      </c>
      <c r="C174" s="9">
        <v>5</v>
      </c>
      <c r="D174" s="9">
        <v>514100</v>
      </c>
      <c r="E174" t="s">
        <v>15</v>
      </c>
      <c r="F174" t="s">
        <v>12</v>
      </c>
      <c r="G174">
        <v>3900</v>
      </c>
      <c r="H174" t="s">
        <v>13</v>
      </c>
      <c r="I174" s="9">
        <v>3900</v>
      </c>
      <c r="J174" s="9" t="s">
        <v>13</v>
      </c>
      <c r="K174" s="9">
        <v>50</v>
      </c>
      <c r="L174" s="9" t="s">
        <v>73</v>
      </c>
    </row>
    <row r="175" spans="1:12" x14ac:dyDescent="0.35">
      <c r="A175" s="16">
        <v>100078</v>
      </c>
      <c r="B175" s="10">
        <v>46172</v>
      </c>
      <c r="C175" s="9">
        <v>5</v>
      </c>
      <c r="D175" s="9">
        <v>614100</v>
      </c>
      <c r="E175" t="s">
        <v>51</v>
      </c>
      <c r="F175" t="s">
        <v>22</v>
      </c>
      <c r="G175">
        <v>3900</v>
      </c>
      <c r="H175" t="s">
        <v>13</v>
      </c>
      <c r="I175" s="9">
        <v>3900</v>
      </c>
      <c r="J175" s="9" t="s">
        <v>13</v>
      </c>
      <c r="K175" s="9">
        <v>40</v>
      </c>
      <c r="L175" s="9" t="s">
        <v>74</v>
      </c>
    </row>
    <row r="176" spans="1:12" x14ac:dyDescent="0.35">
      <c r="A176" s="16">
        <v>100079</v>
      </c>
      <c r="B176" s="10">
        <v>46203</v>
      </c>
      <c r="C176" s="9">
        <v>6</v>
      </c>
      <c r="D176" s="9">
        <v>514100</v>
      </c>
      <c r="E176" t="s">
        <v>15</v>
      </c>
      <c r="F176" t="s">
        <v>12</v>
      </c>
      <c r="G176">
        <v>4300</v>
      </c>
      <c r="H176" t="s">
        <v>13</v>
      </c>
      <c r="I176" s="9">
        <v>4300</v>
      </c>
      <c r="J176" s="9" t="s">
        <v>13</v>
      </c>
      <c r="K176" s="9">
        <v>50</v>
      </c>
      <c r="L176" s="9" t="s">
        <v>75</v>
      </c>
    </row>
    <row r="177" spans="1:12" x14ac:dyDescent="0.35">
      <c r="A177" s="16">
        <v>100079</v>
      </c>
      <c r="B177" s="10">
        <v>46203</v>
      </c>
      <c r="C177" s="9">
        <v>6</v>
      </c>
      <c r="D177" s="9">
        <v>618100</v>
      </c>
      <c r="E177" t="s">
        <v>54</v>
      </c>
      <c r="F177" t="s">
        <v>45</v>
      </c>
      <c r="G177">
        <v>4300</v>
      </c>
      <c r="H177" t="s">
        <v>13</v>
      </c>
      <c r="I177" s="9">
        <v>4300</v>
      </c>
      <c r="J177" s="9" t="s">
        <v>13</v>
      </c>
      <c r="K177" s="9">
        <v>40</v>
      </c>
      <c r="L177" s="9" t="s">
        <v>76</v>
      </c>
    </row>
  </sheetData>
  <conditionalFormatting sqref="A1:A177">
    <cfRule type="duplicateValues" dxfId="0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16"/>
  <sheetViews>
    <sheetView workbookViewId="0">
      <selection activeCell="C16" sqref="C16"/>
    </sheetView>
  </sheetViews>
  <sheetFormatPr baseColWidth="10" defaultRowHeight="14.5" x14ac:dyDescent="0.35"/>
  <cols>
    <col min="1" max="1" width="22.6328125" customWidth="1"/>
    <col min="2" max="2" width="16.54296875" customWidth="1"/>
  </cols>
  <sheetData>
    <row r="3" spans="1:4" ht="29" x14ac:dyDescent="0.35">
      <c r="A3" s="19" t="s">
        <v>118</v>
      </c>
      <c r="B3" s="19" t="s">
        <v>177</v>
      </c>
      <c r="C3" s="19" t="s">
        <v>188</v>
      </c>
      <c r="D3" s="19" t="s">
        <v>91</v>
      </c>
    </row>
    <row r="4" spans="1:4" x14ac:dyDescent="0.35">
      <c r="A4" s="1" t="s">
        <v>107</v>
      </c>
      <c r="B4" s="1">
        <v>190</v>
      </c>
      <c r="C4" s="1">
        <v>190</v>
      </c>
      <c r="D4" s="1" t="s">
        <v>124</v>
      </c>
    </row>
    <row r="5" spans="1:4" ht="29" x14ac:dyDescent="0.35">
      <c r="A5" s="1" t="s">
        <v>189</v>
      </c>
      <c r="B5" s="1">
        <v>12</v>
      </c>
      <c r="C5" s="1">
        <v>12</v>
      </c>
      <c r="D5" s="1" t="s">
        <v>124</v>
      </c>
    </row>
    <row r="6" spans="1:4" x14ac:dyDescent="0.35">
      <c r="A6" s="1" t="s">
        <v>142</v>
      </c>
      <c r="B6" s="1">
        <v>83</v>
      </c>
      <c r="C6" s="1">
        <v>83</v>
      </c>
      <c r="D6" s="1" t="s">
        <v>124</v>
      </c>
    </row>
    <row r="7" spans="1:4" x14ac:dyDescent="0.35">
      <c r="A7" s="1" t="s">
        <v>140</v>
      </c>
      <c r="B7" s="1">
        <v>0</v>
      </c>
      <c r="C7" s="1">
        <v>0</v>
      </c>
      <c r="D7" s="1" t="s">
        <v>124</v>
      </c>
    </row>
    <row r="8" spans="1:4" x14ac:dyDescent="0.35">
      <c r="A8" s="1" t="s">
        <v>104</v>
      </c>
      <c r="B8" s="1" t="s">
        <v>13</v>
      </c>
      <c r="C8" s="1" t="s">
        <v>13</v>
      </c>
      <c r="D8" s="1" t="s">
        <v>124</v>
      </c>
    </row>
    <row r="9" spans="1:4" ht="29" x14ac:dyDescent="0.35">
      <c r="A9" s="1" t="s">
        <v>190</v>
      </c>
      <c r="B9" s="1" t="s">
        <v>106</v>
      </c>
      <c r="C9" s="1" t="s">
        <v>106</v>
      </c>
      <c r="D9" s="1" t="s">
        <v>124</v>
      </c>
    </row>
    <row r="10" spans="1:4" x14ac:dyDescent="0.35">
      <c r="A10" s="1" t="s">
        <v>137</v>
      </c>
      <c r="B10" s="1" t="s">
        <v>191</v>
      </c>
      <c r="C10" s="1" t="s">
        <v>191</v>
      </c>
      <c r="D10" s="1" t="s">
        <v>124</v>
      </c>
    </row>
    <row r="11" spans="1:4" x14ac:dyDescent="0.35">
      <c r="A11" s="1" t="s">
        <v>192</v>
      </c>
      <c r="B11" s="1">
        <v>0</v>
      </c>
      <c r="C11" s="1">
        <v>2</v>
      </c>
      <c r="D11" s="1" t="s">
        <v>193</v>
      </c>
    </row>
    <row r="12" spans="1:4" x14ac:dyDescent="0.35">
      <c r="A12" s="1" t="s">
        <v>194</v>
      </c>
      <c r="B12" s="1">
        <v>0</v>
      </c>
      <c r="C12" s="1">
        <v>2</v>
      </c>
      <c r="D12" s="1" t="s">
        <v>193</v>
      </c>
    </row>
    <row r="13" spans="1:4" x14ac:dyDescent="0.35">
      <c r="A13" s="1" t="s">
        <v>195</v>
      </c>
      <c r="B13" s="1">
        <v>0</v>
      </c>
      <c r="C13" s="1">
        <v>2</v>
      </c>
      <c r="D13" s="1" t="s">
        <v>193</v>
      </c>
    </row>
    <row r="14" spans="1:4" x14ac:dyDescent="0.35">
      <c r="A14" s="1" t="s">
        <v>196</v>
      </c>
      <c r="B14" s="1">
        <v>0</v>
      </c>
      <c r="C14" s="1">
        <v>2</v>
      </c>
      <c r="D14" s="1" t="s">
        <v>193</v>
      </c>
    </row>
    <row r="15" spans="1:4" x14ac:dyDescent="0.35">
      <c r="A15" s="1" t="s">
        <v>197</v>
      </c>
      <c r="B15" s="1">
        <v>0</v>
      </c>
      <c r="C15" s="1">
        <v>14</v>
      </c>
      <c r="D15" s="1" t="s">
        <v>198</v>
      </c>
    </row>
    <row r="16" spans="1:4" x14ac:dyDescent="0.35">
      <c r="A16" s="1" t="s">
        <v>199</v>
      </c>
      <c r="B16" s="1" t="s">
        <v>200</v>
      </c>
      <c r="C16" s="1">
        <v>177</v>
      </c>
      <c r="D16" s="1" t="s">
        <v>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README</vt:lpstr>
      <vt:lpstr>RAW_ACDOCA</vt:lpstr>
      <vt:lpstr>01_RAW_CHECK</vt:lpstr>
      <vt:lpstr>ANOMALIES</vt:lpstr>
      <vt:lpstr>BALANCE_CHECK</vt:lpstr>
      <vt:lpstr>OUTLIER_CHECK</vt:lpstr>
      <vt:lpstr>EXCEPTION_ACDOCA</vt:lpstr>
      <vt:lpstr>CLEAN_ACDOCA</vt:lpstr>
      <vt:lpstr>CONTROL_REPORT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2026-09-02T16:12:46Z</dcterms:created>
  <dcterms:modified xsi:type="dcterms:W3CDTF">2026-09-04T12:22:06Z</dcterms:modified>
</cp:coreProperties>
</file>